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Desktop files\dashboard\"/>
    </mc:Choice>
  </mc:AlternateContent>
  <bookViews>
    <workbookView xWindow="0" yWindow="0" windowWidth="20490" windowHeight="7245" firstSheet="1" activeTab="6"/>
  </bookViews>
  <sheets>
    <sheet name="Control" sheetId="4" r:id="rId1"/>
    <sheet name="Data" sheetId="1" r:id="rId2"/>
    <sheet name="Dashboard" sheetId="2" r:id="rId3"/>
    <sheet name="Proccessing" sheetId="3" r:id="rId4"/>
    <sheet name="Client Structure" sheetId="5" r:id="rId5"/>
    <sheet name="Dashboard Dark" sheetId="7" r:id="rId6"/>
    <sheet name="Client Structure Dark" sheetId="9" r:id="rId7"/>
    <sheet name="Sheet1" sheetId="6" r:id="rId8"/>
    <sheet name="Proccessing (2)" sheetId="8" r:id="rId9"/>
  </sheets>
  <definedNames>
    <definedName name="Slicer_Month">#N/A</definedName>
    <definedName name="Slicer_Year">#N/A</definedName>
  </definedNames>
  <calcPr calcId="162913"/>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3" l="1"/>
  <c r="B4" i="3"/>
  <c r="G10" i="3"/>
  <c r="H4" i="3"/>
  <c r="B9" i="3"/>
  <c r="G2" i="3"/>
  <c r="B13" i="8"/>
  <c r="B9" i="8"/>
  <c r="B5" i="8"/>
  <c r="C13" i="8"/>
  <c r="C7" i="8"/>
  <c r="B8" i="8"/>
  <c r="H3" i="3"/>
  <c r="C13" i="3"/>
  <c r="G13" i="3"/>
  <c r="H7" i="3"/>
  <c r="B10" i="3"/>
  <c r="G6" i="3"/>
  <c r="G13" i="8"/>
  <c r="G9" i="8"/>
  <c r="G5" i="8"/>
  <c r="H13" i="8"/>
  <c r="H7" i="8"/>
  <c r="G8" i="8"/>
  <c r="C8" i="3"/>
  <c r="G5" i="3"/>
  <c r="C10" i="3"/>
  <c r="C4" i="3"/>
  <c r="G9" i="3"/>
  <c r="C12" i="3"/>
  <c r="C10" i="8"/>
  <c r="C6" i="8"/>
  <c r="C2" i="8"/>
  <c r="B10" i="8"/>
  <c r="C9" i="8"/>
  <c r="B2" i="8"/>
  <c r="C9" i="3"/>
  <c r="H10" i="3"/>
  <c r="B3" i="3"/>
  <c r="B6" i="3"/>
  <c r="H2" i="3"/>
  <c r="B7" i="3"/>
  <c r="H10" i="8"/>
  <c r="H6" i="8"/>
  <c r="G10" i="8"/>
  <c r="G2" i="8"/>
  <c r="H4" i="8"/>
  <c r="G4" i="8"/>
  <c r="G8" i="3"/>
  <c r="H13" i="3"/>
  <c r="C6" i="3"/>
  <c r="G12" i="3"/>
  <c r="H6" i="3"/>
  <c r="B2" i="3"/>
  <c r="B11" i="8"/>
  <c r="B7" i="8"/>
  <c r="B3" i="8"/>
  <c r="C11" i="8"/>
  <c r="C3" i="8"/>
  <c r="C5" i="8"/>
  <c r="G11" i="3"/>
  <c r="H5" i="3"/>
  <c r="B5" i="3"/>
  <c r="G4" i="3"/>
  <c r="H9" i="3"/>
  <c r="C7" i="3"/>
  <c r="G11" i="8"/>
  <c r="G7" i="8"/>
  <c r="G3" i="8"/>
  <c r="H11" i="8"/>
  <c r="H3" i="8"/>
  <c r="H5" i="8"/>
  <c r="C5" i="3"/>
  <c r="G7" i="3"/>
  <c r="B12" i="3"/>
  <c r="C8" i="8"/>
  <c r="B12" i="8"/>
  <c r="B6" i="8"/>
  <c r="C11" i="3"/>
  <c r="H12" i="3"/>
  <c r="C3" i="3"/>
  <c r="H8" i="8"/>
  <c r="H9" i="8"/>
  <c r="G6" i="8"/>
  <c r="G3" i="3"/>
  <c r="B11" i="3"/>
  <c r="B13" i="3"/>
  <c r="C12" i="8"/>
  <c r="C4" i="8"/>
  <c r="B4" i="8"/>
  <c r="H8" i="3"/>
  <c r="C2" i="3"/>
  <c r="B8" i="3"/>
  <c r="H12" i="8"/>
  <c r="H2" i="8"/>
  <c r="G12" i="8"/>
  <c r="R6" i="3"/>
  <c r="E8" i="3"/>
  <c r="D6" i="3"/>
  <c r="E6" i="8"/>
  <c r="E2" i="8"/>
  <c r="E7" i="8"/>
  <c r="D13" i="3"/>
  <c r="E6" i="3"/>
  <c r="Q12" i="8"/>
  <c r="E5" i="8"/>
  <c r="D4" i="3"/>
  <c r="Q6" i="8"/>
  <c r="E11" i="8"/>
  <c r="E9" i="3"/>
  <c r="D6" i="8"/>
  <c r="E14" i="3"/>
  <c r="R5" i="8"/>
  <c r="D4" i="8"/>
  <c r="D5" i="3"/>
  <c r="D2" i="8"/>
  <c r="Q11" i="3"/>
  <c r="E10" i="3"/>
  <c r="D7" i="8"/>
  <c r="D3" i="8"/>
  <c r="R4" i="8"/>
  <c r="E7" i="3"/>
  <c r="Q6" i="3"/>
  <c r="E14" i="8"/>
  <c r="D10" i="8"/>
  <c r="Q5" i="3"/>
  <c r="R3" i="3"/>
  <c r="R6" i="8"/>
  <c r="E13" i="3"/>
  <c r="Q13" i="3"/>
  <c r="R2" i="8"/>
  <c r="E2" i="3"/>
  <c r="D9" i="3"/>
  <c r="D9" i="8"/>
  <c r="R2" i="3"/>
  <c r="E11" i="3"/>
  <c r="Q12" i="3"/>
  <c r="D11" i="8"/>
  <c r="E4" i="8"/>
  <c r="D8" i="8"/>
  <c r="Q4" i="3"/>
  <c r="R4" i="3"/>
  <c r="E4" i="3"/>
  <c r="Q13" i="8"/>
  <c r="Q3" i="8"/>
  <c r="D3" i="3"/>
  <c r="Q2" i="8"/>
  <c r="D12" i="3"/>
  <c r="D13" i="8"/>
  <c r="Q3" i="3"/>
  <c r="D2" i="3"/>
  <c r="D14" i="8"/>
  <c r="D11" i="3"/>
  <c r="E12" i="8"/>
  <c r="Q2" i="3"/>
  <c r="R5" i="3"/>
  <c r="E12" i="3"/>
  <c r="D5" i="8"/>
  <c r="D12" i="8"/>
  <c r="E3" i="8"/>
  <c r="D8" i="3"/>
  <c r="D7" i="3"/>
  <c r="E10" i="8"/>
  <c r="Q4" i="8"/>
  <c r="D10" i="3"/>
  <c r="R3" i="8"/>
  <c r="E5" i="3"/>
  <c r="E9" i="8"/>
  <c r="E3" i="3"/>
  <c r="Q11" i="8"/>
  <c r="E8" i="8"/>
  <c r="D14" i="3"/>
  <c r="Q5" i="8"/>
  <c r="E13" i="8"/>
  <c r="L13" i="8" l="1"/>
  <c r="K9" i="8"/>
  <c r="J12" i="8"/>
  <c r="L8" i="8"/>
  <c r="K9" i="3"/>
  <c r="R11" i="8"/>
  <c r="T11" i="8" s="1"/>
  <c r="S11" i="8"/>
  <c r="L2" i="3"/>
  <c r="L3" i="3"/>
  <c r="J3" i="3"/>
  <c r="L9" i="8"/>
  <c r="L5" i="3"/>
  <c r="R13" i="3"/>
  <c r="T13" i="3" s="1"/>
  <c r="S13" i="3"/>
  <c r="L13" i="3"/>
  <c r="J6" i="8"/>
  <c r="K10" i="3"/>
  <c r="J7" i="3"/>
  <c r="K10" i="8"/>
  <c r="L10" i="8"/>
  <c r="K7" i="3"/>
  <c r="K8" i="3"/>
  <c r="L7" i="3"/>
  <c r="L3" i="8"/>
  <c r="K12" i="8"/>
  <c r="K3" i="8"/>
  <c r="K5" i="8"/>
  <c r="K7" i="8"/>
  <c r="L12" i="3"/>
  <c r="L10" i="3"/>
  <c r="R11" i="3"/>
  <c r="T11" i="3" s="1"/>
  <c r="S11" i="3"/>
  <c r="J3" i="8"/>
  <c r="J7" i="8"/>
  <c r="J11" i="8"/>
  <c r="J4" i="3"/>
  <c r="J11" i="3"/>
  <c r="J12" i="3"/>
  <c r="J8" i="3"/>
  <c r="K2" i="8"/>
  <c r="L12" i="8"/>
  <c r="K5" i="3"/>
  <c r="K11" i="3"/>
  <c r="K4" i="8"/>
  <c r="K2" i="3"/>
  <c r="J4" i="8"/>
  <c r="K6" i="8"/>
  <c r="K13" i="8"/>
  <c r="L9" i="3"/>
  <c r="K12" i="3"/>
  <c r="L11" i="8"/>
  <c r="K3" i="3"/>
  <c r="K4" i="3"/>
  <c r="M12" i="8"/>
  <c r="N12" i="8" s="1"/>
  <c r="M4" i="8"/>
  <c r="N4" i="8" s="1"/>
  <c r="M7" i="8"/>
  <c r="N7" i="8" s="1"/>
  <c r="M5" i="8"/>
  <c r="N5" i="8" s="1"/>
  <c r="M6" i="8"/>
  <c r="N6" i="8" s="1"/>
  <c r="M11" i="8"/>
  <c r="N11" i="8" s="1"/>
  <c r="M9" i="8"/>
  <c r="N9" i="8" s="1"/>
  <c r="M8" i="8"/>
  <c r="N8" i="8" s="1"/>
  <c r="M13" i="8"/>
  <c r="N13" i="8" s="1"/>
  <c r="J2" i="8"/>
  <c r="M10" i="8"/>
  <c r="N10" i="8" s="1"/>
  <c r="M2" i="8"/>
  <c r="N2" i="8" s="1"/>
  <c r="M3" i="8"/>
  <c r="N3" i="8" s="1"/>
  <c r="J10" i="8"/>
  <c r="J9" i="3"/>
  <c r="J5" i="3"/>
  <c r="L5" i="8"/>
  <c r="S13" i="8"/>
  <c r="R13" i="8"/>
  <c r="T13" i="8" s="1"/>
  <c r="S12" i="8"/>
  <c r="R12" i="8"/>
  <c r="T12" i="8" s="1"/>
  <c r="L4" i="3"/>
  <c r="L6" i="3"/>
  <c r="K13" i="3"/>
  <c r="L7" i="8"/>
  <c r="K8" i="8"/>
  <c r="L2" i="8"/>
  <c r="L4" i="8"/>
  <c r="L6" i="8"/>
  <c r="K11" i="8"/>
  <c r="K6" i="3"/>
  <c r="S12" i="3"/>
  <c r="R12" i="3"/>
  <c r="T12" i="3" s="1"/>
  <c r="L8" i="3"/>
  <c r="L11" i="3"/>
  <c r="J8" i="8"/>
  <c r="J5" i="8"/>
  <c r="J9" i="8"/>
  <c r="J13" i="8"/>
  <c r="J6" i="3"/>
  <c r="J13" i="3"/>
  <c r="M5" i="3"/>
  <c r="N5" i="3" s="1"/>
  <c r="M13" i="3"/>
  <c r="N13" i="3" s="1"/>
  <c r="M10" i="3"/>
  <c r="N10" i="3" s="1"/>
  <c r="M3" i="3"/>
  <c r="N3" i="3" s="1"/>
  <c r="M11" i="3"/>
  <c r="N11" i="3" s="1"/>
  <c r="M8" i="3"/>
  <c r="N8" i="3" s="1"/>
  <c r="J2" i="3"/>
  <c r="M9" i="3"/>
  <c r="N9" i="3" s="1"/>
  <c r="M2" i="3"/>
  <c r="N2" i="3" s="1"/>
  <c r="M4" i="3"/>
  <c r="N4" i="3" s="1"/>
  <c r="M6" i="3"/>
  <c r="N6" i="3" s="1"/>
  <c r="M7" i="3"/>
  <c r="N7" i="3" s="1"/>
  <c r="M12" i="3"/>
  <c r="N12" i="3" s="1"/>
  <c r="J10" i="3"/>
  <c r="K14" i="3" l="1" a="1"/>
  <c r="K14" i="3" s="1"/>
  <c r="L14" i="3" a="1"/>
  <c r="L14" i="3" s="1"/>
  <c r="L14" i="8" a="1"/>
  <c r="L14" i="8" s="1"/>
  <c r="K14" i="8" a="1"/>
  <c r="K14" i="8" s="1"/>
</calcChain>
</file>

<file path=xl/sharedStrings.xml><?xml version="1.0" encoding="utf-8"?>
<sst xmlns="http://schemas.openxmlformats.org/spreadsheetml/2006/main" count="216" uniqueCount="70">
  <si>
    <t>C Point 5</t>
  </si>
  <si>
    <t>Year</t>
  </si>
  <si>
    <t>Month</t>
  </si>
  <si>
    <t>Active Client Count</t>
  </si>
  <si>
    <t>Average Client Count</t>
  </si>
  <si>
    <t>New Clients</t>
  </si>
  <si>
    <t>Regular Clients</t>
  </si>
  <si>
    <t>Customer</t>
  </si>
  <si>
    <t>Relationship</t>
  </si>
  <si>
    <t>Management</t>
  </si>
  <si>
    <t>K Point 1</t>
  </si>
  <si>
    <t>K Point 2</t>
  </si>
  <si>
    <t>K Point 3</t>
  </si>
  <si>
    <t>K Point 4</t>
  </si>
  <si>
    <t>K Point 5</t>
  </si>
  <si>
    <t>C Point 1</t>
  </si>
  <si>
    <t>C Point 2</t>
  </si>
  <si>
    <t>C Point 3</t>
  </si>
  <si>
    <t>C Point 4</t>
  </si>
  <si>
    <t>JAN</t>
  </si>
  <si>
    <t>FEB</t>
  </si>
  <si>
    <t>MAR</t>
  </si>
  <si>
    <t>APR</t>
  </si>
  <si>
    <t>MAY</t>
  </si>
  <si>
    <t>JUN</t>
  </si>
  <si>
    <t>JUL</t>
  </si>
  <si>
    <t>AUG</t>
  </si>
  <si>
    <t>SEP</t>
  </si>
  <si>
    <t>OCT</t>
  </si>
  <si>
    <t>NOV</t>
  </si>
  <si>
    <t>DEC</t>
  </si>
  <si>
    <t>Customer Activity</t>
  </si>
  <si>
    <t>Sum of Active Client Count</t>
  </si>
  <si>
    <t>Row Labels</t>
  </si>
  <si>
    <t>Grand Total</t>
  </si>
  <si>
    <t>Sum of Average Client Count</t>
  </si>
  <si>
    <t>`</t>
  </si>
  <si>
    <t>Select Active</t>
  </si>
  <si>
    <t>Select Average</t>
  </si>
  <si>
    <t>Total</t>
  </si>
  <si>
    <t>Client Structure</t>
  </si>
  <si>
    <t>Sum of New Clients</t>
  </si>
  <si>
    <t>Sum of Regular Clients</t>
  </si>
  <si>
    <t>New Select</t>
  </si>
  <si>
    <t>Regular Select</t>
  </si>
  <si>
    <t>Indent</t>
  </si>
  <si>
    <t xml:space="preserve">Indent Select </t>
  </si>
  <si>
    <t>Average of Customer</t>
  </si>
  <si>
    <t>Average of Relationship</t>
  </si>
  <si>
    <t>Average of Management</t>
  </si>
  <si>
    <t>X</t>
  </si>
  <si>
    <t>Y</t>
  </si>
  <si>
    <t>Point of Sale</t>
  </si>
  <si>
    <t>Point 1</t>
  </si>
  <si>
    <t>Point 2</t>
  </si>
  <si>
    <t>Point 3</t>
  </si>
  <si>
    <t>Point 4</t>
  </si>
  <si>
    <t>Point 5</t>
  </si>
  <si>
    <t>KPI</t>
  </si>
  <si>
    <t>Sum of K Point 1</t>
  </si>
  <si>
    <t>Sum of K Point 2</t>
  </si>
  <si>
    <t>Sum of K Point 3</t>
  </si>
  <si>
    <t>Sum of K Point 4</t>
  </si>
  <si>
    <t>Sum of K Point 5</t>
  </si>
  <si>
    <t>Sum of C Point 1</t>
  </si>
  <si>
    <t>Sum of C Point 2</t>
  </si>
  <si>
    <t>Sum of C Point 3</t>
  </si>
  <si>
    <t>Sum of C Point 4</t>
  </si>
  <si>
    <t>Sum of C Point 5</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</si>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</sst>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4" x14ac:knownFonts="1">
    <font>
      <sz val="11"/>
      <color theme="1"/>
      <name val="Calibri"/>
      <family val="2"/>
      <scheme val="minor"/>
    </font>
    <font>
      <b/>
      <sz val="11"/>
      <color theme="0"/>
      <name val="Calibri"/>
      <family val="2"/>
      <scheme val="minor"/>
    </font>
    <font>
      <sz val="11"/>
      <color rgb="FFD6E7E0"/>
      <name val="Calibri"/>
      <family val="2"/>
      <scheme val="minor"/>
    </font>
    <font>
      <sz val="11"/>
      <color theme="1"/>
      <name val="Calibri"/>
      <family val="2"/>
      <scheme val="minor"/>
    </font>
  </fonts>
  <fills count="5">
    <fill>
      <patternFill patternType="none"/>
    </fill>
    <fill>
      <patternFill patternType="gray125"/>
    </fill>
    <fill>
      <patternFill patternType="solid">
        <fgColor rgb="FFD6E7E0"/>
        <bgColor indexed="64"/>
      </patternFill>
    </fill>
    <fill>
      <patternFill patternType="solid">
        <fgColor theme="4"/>
        <bgColor theme="4"/>
      </patternFill>
    </fill>
    <fill>
      <patternFill patternType="solid">
        <fgColor theme="1"/>
        <bgColor indexed="6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17">
    <xf numFmtId="0" fontId="0" fillId="0" borderId="0" xfId="0"/>
    <xf numFmtId="9" fontId="0" fillId="0" borderId="0" xfId="0" applyNumberFormat="1"/>
    <xf numFmtId="0" fontId="2" fillId="2" borderId="0" xfId="0" applyFont="1" applyFill="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quotePrefix="1" applyAlignment="1">
      <alignment horizontal="center"/>
    </xf>
    <xf numFmtId="0" fontId="0" fillId="0" borderId="0" xfId="0" applyAlignment="1">
      <alignment horizontal="center" vertical="center"/>
    </xf>
    <xf numFmtId="0" fontId="1" fillId="3" borderId="1" xfId="0" applyFont="1" applyFill="1" applyBorder="1" applyAlignment="1">
      <alignment horizontal="center"/>
    </xf>
    <xf numFmtId="9" fontId="0" fillId="0" borderId="0" xfId="0" applyNumberFormat="1" applyAlignment="1">
      <alignment horizontal="center"/>
    </xf>
    <xf numFmtId="0" fontId="1" fillId="3" borderId="1" xfId="0" applyFont="1" applyFill="1" applyBorder="1"/>
    <xf numFmtId="9" fontId="0" fillId="0" borderId="0" xfId="1" applyFont="1" applyAlignment="1">
      <alignment horizontal="center"/>
    </xf>
    <xf numFmtId="44" fontId="0" fillId="0" borderId="0" xfId="2" applyFont="1"/>
    <xf numFmtId="164" fontId="0" fillId="0" borderId="0" xfId="0" applyNumberFormat="1"/>
    <xf numFmtId="0" fontId="2" fillId="4" borderId="0" xfId="0" applyFont="1" applyFill="1"/>
    <xf numFmtId="0" fontId="0" fillId="4" borderId="0" xfId="0" applyFont="1" applyFill="1"/>
  </cellXfs>
  <cellStyles count="3">
    <cellStyle name="Currency" xfId="2" builtinId="4"/>
    <cellStyle name="Normal" xfId="0" builtinId="0"/>
    <cellStyle name="Percent" xfId="1" builtinId="5"/>
  </cellStyles>
  <dxfs count="43">
    <dxf>
      <numFmt numFmtId="13" formatCode="0%"/>
    </dxf>
    <dxf>
      <numFmt numFmtId="13" formatCode="0%"/>
    </dxf>
    <dxf>
      <numFmt numFmtId="13" formatCode="0%"/>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13" formatCode="0%"/>
    </dxf>
    <dxf>
      <numFmt numFmtId="13" formatCode="0%"/>
    </dxf>
    <dxf>
      <numFmt numFmtId="13" formatCode="0%"/>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13" formatCode="0%"/>
    </dxf>
    <dxf>
      <numFmt numFmtId="13" formatCode="0%"/>
    </dxf>
    <dxf>
      <numFmt numFmtId="13" formatCode="0%"/>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13" formatCode="0%"/>
    </dxf>
    <dxf>
      <numFmt numFmtId="13" formatCode="0%"/>
    </dxf>
    <dxf>
      <numFmt numFmtId="13" formatCode="0%"/>
    </dxf>
    <dxf>
      <numFmt numFmtId="164" formatCode="_(&quot;$&quot;* #,##0_);_(&quot;$&quot;* \(#,##0\);_(&quot;$&quot;* &quot;-&quot;??_);_(@_)"/>
    </dxf>
    <dxf>
      <numFmt numFmtId="165" formatCode="_(&quot;$&quot;* #,##0.0_);_(&quot;$&quot;* \(#,##0.0\);_(&quot;$&quot;* &quot;-&quot;??_);_(@_)"/>
    </dxf>
    <dxf>
      <numFmt numFmtId="34" formatCode="_(&quot;$&quot;* #,##0.00_);_(&quot;$&quot;* \(#,##0.00\);_(&quot;$&quot;* &quot;-&quot;??_);_(@_)"/>
    </dxf>
    <dxf>
      <numFmt numFmtId="166" formatCode="_(&quot;$&quot;* #,##0.000_);_(&quot;$&quot;* \(#,##0.000\);_(&quot;$&quot;* &quot;-&quot;??_);_(@_)"/>
    </dxf>
    <dxf>
      <numFmt numFmtId="34" formatCode="_(&quot;$&quot;* #,##0.00_);_(&quot;$&quot;* \(#,##0.00\);_(&quot;$&quot;* &quot;-&quot;??_);_(@_)"/>
    </dxf>
    <dxf>
      <numFmt numFmtId="13" formatCode="0%"/>
    </dxf>
    <dxf>
      <numFmt numFmtId="13" formatCode="0%"/>
    </dxf>
    <dxf>
      <numFmt numFmtId="13" formatCode="0%"/>
    </dxf>
    <dxf>
      <font>
        <b/>
        <color theme="1"/>
      </font>
      <border diagonalUp="0" diagonalDown="0">
        <left/>
        <right/>
        <top/>
        <bottom/>
        <vertical/>
        <horizontal/>
      </border>
    </dxf>
    <dxf>
      <font>
        <color theme="1"/>
        <name val="Calibri"/>
        <scheme val="minor"/>
      </font>
      <fill>
        <patternFill>
          <bgColor rgb="FF252A3E"/>
        </patternFill>
      </fill>
      <border diagonalUp="0" diagonalDown="0">
        <left/>
        <right/>
        <top/>
        <bottom/>
        <vertical/>
        <horizontal/>
      </border>
    </dxf>
    <dxf>
      <font>
        <b/>
        <color theme="1"/>
      </font>
      <border diagonalUp="0" diagonalDown="0">
        <left/>
        <right/>
        <top/>
        <bottom/>
        <vertical/>
        <horizontal/>
      </border>
    </dxf>
    <dxf>
      <font>
        <color theme="1"/>
        <name val="Calibri"/>
        <scheme val="minor"/>
      </font>
      <fill>
        <patternFill>
          <bgColor rgb="FF1B1B21"/>
        </patternFill>
      </fill>
      <border diagonalUp="0" diagonalDown="0">
        <left/>
        <right/>
        <top/>
        <bottom/>
        <vertical/>
        <horizontal/>
      </border>
    </dxf>
    <dxf>
      <font>
        <b/>
        <color theme="1"/>
      </font>
      <border diagonalUp="0" diagonalDown="0">
        <left/>
        <right/>
        <top/>
        <bottom/>
        <vertical/>
        <horizontal/>
      </border>
    </dxf>
    <dxf>
      <font>
        <color theme="1"/>
        <name val="Calibri"/>
        <scheme val="minor"/>
      </font>
      <fill>
        <patternFill>
          <bgColor rgb="FFEEF5F9"/>
        </patternFill>
      </fill>
      <border diagonalUp="0" diagonalDown="0">
        <left/>
        <right/>
        <top/>
        <bottom/>
        <vertical/>
        <horizontal/>
      </border>
    </dxf>
    <dxf>
      <font>
        <b/>
        <color theme="1"/>
      </font>
      <border diagonalUp="0" diagonalDown="0">
        <left/>
        <right/>
        <top/>
        <bottom/>
        <vertical/>
        <horizontal/>
      </border>
    </dxf>
    <dxf>
      <font>
        <color theme="1"/>
        <name val="Calibri"/>
        <scheme val="minor"/>
      </font>
      <fill>
        <patternFill>
          <bgColor rgb="FFEEF5F9"/>
        </patternFill>
      </fill>
      <border diagonalUp="0" diagonalDown="0">
        <left/>
        <right/>
        <top/>
        <bottom/>
        <vertical/>
        <horizontal/>
      </border>
    </dxf>
  </dxfs>
  <tableStyles count="4" defaultTableStyle="TableStyleMedium2" defaultPivotStyle="PivotStyleLight16">
    <tableStyle name="SlicerStyleLight1 2" pivot="0" table="0" count="10">
      <tableStyleElement type="wholeTable" dxfId="42"/>
      <tableStyleElement type="headerRow" dxfId="41"/>
    </tableStyle>
    <tableStyle name="SlicerStyleLight1 2 2" pivot="0" table="0" count="10">
      <tableStyleElement type="wholeTable" dxfId="40"/>
      <tableStyleElement type="headerRow" dxfId="39"/>
    </tableStyle>
    <tableStyle name="SlicerStyleLight1 2 3" pivot="0" table="0" count="10">
      <tableStyleElement type="wholeTable" dxfId="38"/>
      <tableStyleElement type="headerRow" dxfId="37"/>
    </tableStyle>
    <tableStyle name="SlicerStyleLight1 2 3 2" pivot="0" table="0" count="10">
      <tableStyleElement type="wholeTable" dxfId="36"/>
      <tableStyleElement type="headerRow" dxfId="35"/>
    </tableStyle>
  </tableStyles>
  <colors>
    <mruColors>
      <color rgb="FF252A3E"/>
      <color rgb="FF241B3F"/>
      <color rgb="FF1B1B21"/>
      <color rgb="FF103231"/>
      <color rgb="FF6A47FF"/>
      <color rgb="FF00FFFF"/>
      <color rgb="FF5A637D"/>
      <color rgb="FF967DFF"/>
      <color rgb="FF9980FF"/>
      <color rgb="FFABFF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1"/>
          </font>
          <fill>
            <gradientFill degree="90">
              <stop position="0">
                <color rgb="FF6A47FF"/>
              </stop>
              <stop position="1">
                <color rgb="FF967DFF"/>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theme="0" tint="-0.34998626667073579"/>
          </font>
          <fill>
            <patternFill patternType="solid">
              <fgColor rgb="FFFFFFFF"/>
              <bgColor rgb="FF1B1B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1"/>
          </font>
          <fill>
            <gradientFill degree="90">
              <stop position="0">
                <color rgb="FF00FFFF"/>
              </stop>
              <stop position="1">
                <color rgb="FFABFFFF"/>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theme="0" tint="-0.34998626667073579"/>
          </font>
          <fill>
            <patternFill patternType="solid">
              <fgColor rgb="FFFFFFFF"/>
              <bgColor rgb="FF1B1B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font>
          <fill>
            <gradientFill degree="90">
              <stop position="0">
                <color rgb="FF7532A8"/>
              </stop>
              <stop position="1">
                <color rgb="FF9F5FCF"/>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theme="1" tint="0.2499465926084170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font>
          <fill>
            <gradientFill degree="90">
              <stop position="0">
                <color rgb="FF36EB0B"/>
              </stop>
              <stop position="1">
                <color rgb="FF51F52B"/>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theme="1" tint="0.24994659260841701"/>
          </font>
          <fill>
            <patternFill patternType="solid">
              <fgColor rgb="FFFFFFFF"/>
              <bgColor rgb="FFEEF5F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16.xml"/><Relationship Id="rId1" Type="http://schemas.microsoft.com/office/2011/relationships/chartStyle" Target="style16.xml"/><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image" Target="../media/image8.png"/><Relationship Id="rId2" Type="http://schemas.microsoft.com/office/2011/relationships/chartColorStyle" Target="colors23.xml"/><Relationship Id="rId1" Type="http://schemas.microsoft.com/office/2011/relationships/chartStyle" Target="style23.xml"/><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Active</c:v>
          </c:tx>
          <c:spPr>
            <a:gradFill flip="none" rotWithShape="1">
              <a:gsLst>
                <a:gs pos="0">
                  <a:srgbClr val="67F753">
                    <a:alpha val="82000"/>
                  </a:srgbClr>
                </a:gs>
                <a:gs pos="100000">
                  <a:srgbClr val="8FF194">
                    <a:alpha val="0"/>
                  </a:srgbClr>
                </a:gs>
              </a:gsLst>
              <a:lin ang="5400000" scaled="0"/>
              <a:tileRect/>
            </a:gradFill>
            <a:ln w="25400">
              <a:noFill/>
            </a:ln>
            <a:effectLst/>
          </c:spPr>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extLst>
            <c:ext xmlns:c16="http://schemas.microsoft.com/office/drawing/2014/chart" uri="{C3380CC4-5D6E-409C-BE32-E72D297353CC}">
              <c16:uniqueId val="{00000000-A96F-40F1-8E20-D0E5603B8CD7}"/>
            </c:ext>
          </c:extLst>
        </c:ser>
        <c:ser>
          <c:idx val="5"/>
          <c:order val="5"/>
          <c:tx>
            <c:v>Fill Average</c:v>
          </c:tx>
          <c:spPr>
            <a:gradFill>
              <a:gsLst>
                <a:gs pos="0">
                  <a:srgbClr val="BC8EDE">
                    <a:alpha val="82000"/>
                  </a:srgbClr>
                </a:gs>
                <a:gs pos="100000">
                  <a:srgbClr val="BC8EDE">
                    <a:alpha val="8000"/>
                  </a:srgbClr>
                </a:gs>
              </a:gsLst>
              <a:lin ang="5400000" scaled="0"/>
            </a:gradFill>
            <a:ln w="25400">
              <a:noFill/>
            </a:ln>
            <a:effectLst/>
          </c:spPr>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extLst>
            <c:ext xmlns:c16="http://schemas.microsoft.com/office/drawing/2014/chart" uri="{C3380CC4-5D6E-409C-BE32-E72D297353CC}">
              <c16:uniqueId val="{00000001-A96F-40F1-8E20-D0E5603B8CD7}"/>
            </c:ext>
          </c:extLst>
        </c:ser>
        <c:dLbls>
          <c:showLegendKey val="0"/>
          <c:showVal val="0"/>
          <c:showCatName val="0"/>
          <c:showSerName val="0"/>
          <c:showPercent val="0"/>
          <c:showBubbleSize val="0"/>
        </c:dLbls>
        <c:axId val="351840664"/>
        <c:axId val="351833448"/>
      </c:areaChart>
      <c:lineChart>
        <c:grouping val="standard"/>
        <c:varyColors val="0"/>
        <c:ser>
          <c:idx val="0"/>
          <c:order val="0"/>
          <c:tx>
            <c:strRef>
              <c:f>Proccessing!$B$1</c:f>
              <c:strCache>
                <c:ptCount val="1"/>
                <c:pt idx="0">
                  <c:v>Active Client Count</c:v>
                </c:pt>
              </c:strCache>
            </c:strRef>
          </c:tx>
          <c:spPr>
            <a:ln w="19050" cap="rnd">
              <a:solidFill>
                <a:srgbClr val="51F52B"/>
              </a:solidFill>
              <a:round/>
            </a:ln>
            <a:effectLst/>
          </c:spPr>
          <c:marker>
            <c:symbol val="circle"/>
            <c:size val="7"/>
            <c:spPr>
              <a:solidFill>
                <a:schemeClr val="bg1"/>
              </a:solidFill>
              <a:ln w="9525">
                <a:solidFill>
                  <a:srgbClr val="51F52B"/>
                </a:solidFill>
              </a:ln>
              <a:effectLst/>
            </c:spPr>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smooth val="1"/>
          <c:extLst>
            <c:ext xmlns:c16="http://schemas.microsoft.com/office/drawing/2014/chart" uri="{C3380CC4-5D6E-409C-BE32-E72D297353CC}">
              <c16:uniqueId val="{00000000-CD1D-4BDD-B871-1B3438D08764}"/>
            </c:ext>
          </c:extLst>
        </c:ser>
        <c:ser>
          <c:idx val="1"/>
          <c:order val="1"/>
          <c:tx>
            <c:strRef>
              <c:f>Proccessing!$C$1</c:f>
              <c:strCache>
                <c:ptCount val="1"/>
                <c:pt idx="0">
                  <c:v>Average Client Count</c:v>
                </c:pt>
              </c:strCache>
            </c:strRef>
          </c:tx>
          <c:spPr>
            <a:ln w="28575" cap="rnd">
              <a:solidFill>
                <a:srgbClr val="A893FF"/>
              </a:solidFill>
              <a:round/>
            </a:ln>
            <a:effectLst/>
          </c:spPr>
          <c:marker>
            <c:symbol val="circle"/>
            <c:size val="7"/>
            <c:spPr>
              <a:solidFill>
                <a:schemeClr val="bg1"/>
              </a:solidFill>
              <a:ln w="9525">
                <a:solidFill>
                  <a:srgbClr val="A893FF"/>
                </a:solidFill>
              </a:ln>
              <a:effectLst/>
            </c:spPr>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smooth val="1"/>
          <c:extLst>
            <c:ext xmlns:c16="http://schemas.microsoft.com/office/drawing/2014/chart" uri="{C3380CC4-5D6E-409C-BE32-E72D297353CC}">
              <c16:uniqueId val="{00000001-CD1D-4BDD-B871-1B3438D08764}"/>
            </c:ext>
          </c:extLst>
        </c:ser>
        <c:dLbls>
          <c:showLegendKey val="0"/>
          <c:showVal val="0"/>
          <c:showCatName val="0"/>
          <c:showSerName val="0"/>
          <c:showPercent val="0"/>
          <c:showBubbleSize val="0"/>
        </c:dLbls>
        <c:marker val="1"/>
        <c:smooth val="0"/>
        <c:axId val="351840664"/>
        <c:axId val="351833448"/>
      </c:lineChart>
      <c:scatterChart>
        <c:scatterStyle val="lineMarker"/>
        <c:varyColors val="0"/>
        <c:ser>
          <c:idx val="2"/>
          <c:order val="2"/>
          <c:tx>
            <c:strRef>
              <c:f>Proccessing!$D$1</c:f>
              <c:strCache>
                <c:ptCount val="1"/>
                <c:pt idx="0">
                  <c:v>Select Active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yVal>
          <c:smooth val="0"/>
          <c:extLst>
            <c:ext xmlns:c16="http://schemas.microsoft.com/office/drawing/2014/chart" uri="{C3380CC4-5D6E-409C-BE32-E72D297353CC}">
              <c16:uniqueId val="{00000002-CD1D-4BDD-B871-1B3438D08764}"/>
            </c:ext>
          </c:extLst>
        </c:ser>
        <c:ser>
          <c:idx val="3"/>
          <c:order val="3"/>
          <c:tx>
            <c:strRef>
              <c:f>Proccessing!$E$1</c:f>
              <c:strCache>
                <c:ptCount val="1"/>
                <c:pt idx="0">
                  <c:v>Select Average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yVal>
          <c:smooth val="0"/>
          <c:extLst>
            <c:ext xmlns:c16="http://schemas.microsoft.com/office/drawing/2014/chart" uri="{C3380CC4-5D6E-409C-BE32-E72D297353CC}">
              <c16:uniqueId val="{00000003-CD1D-4BDD-B871-1B3438D08764}"/>
            </c:ext>
          </c:extLst>
        </c:ser>
        <c:dLbls>
          <c:showLegendKey val="0"/>
          <c:showVal val="0"/>
          <c:showCatName val="0"/>
          <c:showSerName val="0"/>
          <c:showPercent val="0"/>
          <c:showBubbleSize val="0"/>
        </c:dLbls>
        <c:axId val="351840664"/>
        <c:axId val="351833448"/>
      </c:scatterChart>
      <c:catAx>
        <c:axId val="351840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33448"/>
        <c:crosses val="autoZero"/>
        <c:auto val="1"/>
        <c:lblAlgn val="ctr"/>
        <c:lblOffset val="100"/>
        <c:noMultiLvlLbl val="0"/>
      </c:catAx>
      <c:valAx>
        <c:axId val="351833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40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0-2E61-403A-8617-07E03DD2F71C}"/>
            </c:ext>
          </c:extLst>
        </c:ser>
        <c:ser>
          <c:idx val="0"/>
          <c:order val="1"/>
          <c:tx>
            <c:strRef>
              <c:f>Proccessing!$J$1</c:f>
              <c:strCache>
                <c:ptCount val="1"/>
                <c:pt idx="0">
                  <c:v>Total</c:v>
                </c:pt>
              </c:strCache>
            </c:strRef>
          </c:tx>
          <c:spPr>
            <a:solidFill>
              <a:srgbClr val="C3DCEB"/>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Proccessing!$J$2:$J$13</c:f>
              <c:numCache>
                <c:formatCode>General</c:formatCode>
                <c:ptCount val="12"/>
                <c:pt idx="0">
                  <c:v>1591</c:v>
                </c:pt>
                <c:pt idx="1">
                  <c:v>1413</c:v>
                </c:pt>
                <c:pt idx="2">
                  <c:v>1746</c:v>
                </c:pt>
                <c:pt idx="3">
                  <c:v>1446</c:v>
                </c:pt>
                <c:pt idx="4">
                  <c:v>1494</c:v>
                </c:pt>
                <c:pt idx="5">
                  <c:v>1362</c:v>
                </c:pt>
                <c:pt idx="6">
                  <c:v>1266</c:v>
                </c:pt>
                <c:pt idx="7">
                  <c:v>1467</c:v>
                </c:pt>
                <c:pt idx="8">
                  <c:v>1316</c:v>
                </c:pt>
                <c:pt idx="9">
                  <c:v>1785</c:v>
                </c:pt>
                <c:pt idx="10">
                  <c:v>1534</c:v>
                </c:pt>
                <c:pt idx="11">
                  <c:v>1858</c:v>
                </c:pt>
              </c:numCache>
            </c:numRef>
          </c:val>
          <c:extLst>
            <c:ext xmlns:c16="http://schemas.microsoft.com/office/drawing/2014/chart" uri="{C3380CC4-5D6E-409C-BE32-E72D297353CC}">
              <c16:uniqueId val="{00000001-2E61-403A-8617-07E03DD2F71C}"/>
            </c:ext>
          </c:extLst>
        </c:ser>
        <c:ser>
          <c:idx val="5"/>
          <c:order val="2"/>
          <c:tx>
            <c:strRef>
              <c:f>Proccessing!$M$1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2-2E61-403A-8617-07E03DD2F71C}"/>
            </c:ext>
          </c:extLst>
        </c:ser>
        <c:dLbls>
          <c:showLegendKey val="0"/>
          <c:showVal val="0"/>
          <c:showCatName val="0"/>
          <c:showSerName val="0"/>
          <c:showPercent val="0"/>
          <c:showBubbleSize val="0"/>
        </c:dLbls>
        <c:gapWidth val="80"/>
        <c:overlap val="100"/>
        <c:axId val="412559248"/>
        <c:axId val="412556952"/>
      </c:barChart>
      <c:barChart>
        <c:barDir val="col"/>
        <c:grouping val="stacked"/>
        <c:varyColors val="0"/>
        <c:ser>
          <c:idx val="4"/>
          <c:order val="3"/>
          <c:tx>
            <c:strRef>
              <c:f>Proccessing!$N$1</c:f>
              <c:strCache>
                <c:ptCount val="1"/>
                <c:pt idx="0">
                  <c:v>Indent Select </c:v>
                </c:pt>
              </c:strCache>
            </c:strRef>
          </c:tx>
          <c:spPr>
            <a:blipFill>
              <a:blip xmlns:r="http://schemas.openxmlformats.org/officeDocument/2006/relationships" r:embed="rId5"/>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3-2E61-403A-8617-07E03DD2F71C}"/>
            </c:ext>
          </c:extLst>
        </c:ser>
        <c:ser>
          <c:idx val="1"/>
          <c:order val="4"/>
          <c:tx>
            <c:strRef>
              <c:f>Proccessing!$K$1</c:f>
              <c:strCache>
                <c:ptCount val="1"/>
                <c:pt idx="0">
                  <c:v>New Select</c:v>
                </c:pt>
              </c:strCache>
            </c:strRef>
          </c:tx>
          <c:spPr>
            <a:solidFill>
              <a:srgbClr val="8439BD"/>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Proccessing!$K$2:$K$13</c:f>
              <c:numCache>
                <c:formatCode>General</c:formatCode>
                <c:ptCount val="12"/>
                <c:pt idx="0">
                  <c:v>654</c:v>
                </c:pt>
                <c:pt idx="1">
                  <c:v>756</c:v>
                </c:pt>
                <c:pt idx="2">
                  <c:v>885</c:v>
                </c:pt>
                <c:pt idx="3">
                  <c:v>835</c:v>
                </c:pt>
                <c:pt idx="4">
                  <c:v>853</c:v>
                </c:pt>
                <c:pt idx="5">
                  <c:v>615</c:v>
                </c:pt>
                <c:pt idx="6">
                  <c:v>671</c:v>
                </c:pt>
                <c:pt idx="7">
                  <c:v>835</c:v>
                </c:pt>
                <c:pt idx="8">
                  <c:v>562</c:v>
                </c:pt>
                <c:pt idx="9">
                  <c:v>1040</c:v>
                </c:pt>
                <c:pt idx="10">
                  <c:v>877</c:v>
                </c:pt>
                <c:pt idx="11">
                  <c:v>905</c:v>
                </c:pt>
              </c:numCache>
            </c:numRef>
          </c:val>
          <c:extLst>
            <c:ext xmlns:c16="http://schemas.microsoft.com/office/drawing/2014/chart" uri="{C3380CC4-5D6E-409C-BE32-E72D297353CC}">
              <c16:uniqueId val="{00000004-2E61-403A-8617-07E03DD2F71C}"/>
            </c:ext>
          </c:extLst>
        </c:ser>
        <c:ser>
          <c:idx val="2"/>
          <c:order val="5"/>
          <c:tx>
            <c:strRef>
              <c:f>Proccessing!$L$1</c:f>
              <c:strCache>
                <c:ptCount val="1"/>
                <c:pt idx="0">
                  <c:v>Regular Select</c:v>
                </c:pt>
              </c:strCache>
            </c:strRef>
          </c:tx>
          <c:spPr>
            <a:solidFill>
              <a:srgbClr val="51F52B"/>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Proccessing!$L$2:$L$13</c:f>
              <c:numCache>
                <c:formatCode>General</c:formatCode>
                <c:ptCount val="12"/>
                <c:pt idx="0">
                  <c:v>937</c:v>
                </c:pt>
                <c:pt idx="1">
                  <c:v>657</c:v>
                </c:pt>
                <c:pt idx="2">
                  <c:v>861</c:v>
                </c:pt>
                <c:pt idx="3">
                  <c:v>611</c:v>
                </c:pt>
                <c:pt idx="4">
                  <c:v>641</c:v>
                </c:pt>
                <c:pt idx="5">
                  <c:v>747</c:v>
                </c:pt>
                <c:pt idx="6">
                  <c:v>595</c:v>
                </c:pt>
                <c:pt idx="7">
                  <c:v>632</c:v>
                </c:pt>
                <c:pt idx="8">
                  <c:v>754</c:v>
                </c:pt>
                <c:pt idx="9">
                  <c:v>745</c:v>
                </c:pt>
                <c:pt idx="10">
                  <c:v>657</c:v>
                </c:pt>
                <c:pt idx="11">
                  <c:v>953</c:v>
                </c:pt>
              </c:numCache>
            </c:numRef>
          </c:val>
          <c:extLst>
            <c:ext xmlns:c16="http://schemas.microsoft.com/office/drawing/2014/chart" uri="{C3380CC4-5D6E-409C-BE32-E72D297353CC}">
              <c16:uniqueId val="{00000005-2E61-403A-8617-07E03DD2F71C}"/>
            </c:ext>
          </c:extLst>
        </c:ser>
        <c:ser>
          <c:idx val="6"/>
          <c:order val="6"/>
          <c:tx>
            <c:strRef>
              <c:f>Proccessing!$N$1</c:f>
              <c:strCache>
                <c:ptCount val="1"/>
                <c:pt idx="0">
                  <c:v>Indent Select </c:v>
                </c:pt>
              </c:strCache>
            </c:strRef>
          </c:tx>
          <c:spPr>
            <a:blipFill>
              <a:blip xmlns:r="http://schemas.openxmlformats.org/officeDocument/2006/relationships" r:embed="rId6"/>
              <a:stretch>
                <a:fillRect/>
              </a:stretch>
            </a:blipFill>
            <a:ln>
              <a:noFill/>
            </a:ln>
            <a:effectLst/>
          </c:spPr>
          <c:invertIfNegative val="0"/>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6-2E61-403A-8617-07E03DD2F71C}"/>
            </c:ext>
          </c:extLst>
        </c:ser>
        <c:dLbls>
          <c:showLegendKey val="0"/>
          <c:showVal val="0"/>
          <c:showCatName val="0"/>
          <c:showSerName val="0"/>
          <c:showPercent val="0"/>
          <c:showBubbleSize val="0"/>
        </c:dLbls>
        <c:gapWidth val="80"/>
        <c:overlap val="100"/>
        <c:axId val="412565808"/>
        <c:axId val="412565152"/>
      </c:barChart>
      <c:catAx>
        <c:axId val="41255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56952"/>
        <c:crosses val="autoZero"/>
        <c:auto val="1"/>
        <c:lblAlgn val="ctr"/>
        <c:lblOffset val="100"/>
        <c:noMultiLvlLbl val="0"/>
      </c:catAx>
      <c:valAx>
        <c:axId val="412556952"/>
        <c:scaling>
          <c:orientation val="minMax"/>
        </c:scaling>
        <c:delete val="1"/>
        <c:axPos val="l"/>
        <c:numFmt formatCode="General" sourceLinked="1"/>
        <c:majorTickMark val="out"/>
        <c:minorTickMark val="none"/>
        <c:tickLblPos val="nextTo"/>
        <c:crossAx val="412559248"/>
        <c:crosses val="autoZero"/>
        <c:crossBetween val="between"/>
      </c:valAx>
      <c:valAx>
        <c:axId val="412565152"/>
        <c:scaling>
          <c:orientation val="minMax"/>
        </c:scaling>
        <c:delete val="1"/>
        <c:axPos val="r"/>
        <c:numFmt formatCode="General" sourceLinked="1"/>
        <c:majorTickMark val="out"/>
        <c:minorTickMark val="none"/>
        <c:tickLblPos val="nextTo"/>
        <c:crossAx val="412565808"/>
        <c:crosses val="max"/>
        <c:crossBetween val="between"/>
      </c:valAx>
      <c:catAx>
        <c:axId val="412565808"/>
        <c:scaling>
          <c:orientation val="minMax"/>
        </c:scaling>
        <c:delete val="1"/>
        <c:axPos val="t"/>
        <c:numFmt formatCode="General" sourceLinked="1"/>
        <c:majorTickMark val="out"/>
        <c:minorTickMark val="none"/>
        <c:tickLblPos val="nextTo"/>
        <c:crossAx val="412565152"/>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lgn="just">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Proccessing!$P$11</c:f>
              <c:strCache>
                <c:ptCount val="1"/>
                <c:pt idx="0">
                  <c:v>Customer</c:v>
                </c:pt>
              </c:strCache>
            </c:strRef>
          </c:tx>
          <c:spPr>
            <a:ln>
              <a:noFill/>
            </a:ln>
          </c:spPr>
          <c:dPt>
            <c:idx val="0"/>
            <c:bubble3D val="0"/>
            <c:spPr>
              <a:solidFill>
                <a:srgbClr val="51F52B"/>
              </a:solidFill>
              <a:ln w="19050">
                <a:noFill/>
              </a:ln>
              <a:effectLst/>
            </c:spPr>
            <c:extLst>
              <c:ext xmlns:c16="http://schemas.microsoft.com/office/drawing/2014/chart" uri="{C3380CC4-5D6E-409C-BE32-E72D297353CC}">
                <c16:uniqueId val="{00000001-5DC6-4B2F-9E9B-6B80D51D5839}"/>
              </c:ext>
            </c:extLst>
          </c:dPt>
          <c:dPt>
            <c:idx val="1"/>
            <c:bubble3D val="0"/>
            <c:spPr>
              <a:solidFill>
                <a:schemeClr val="bg1"/>
              </a:solidFill>
              <a:ln w="19050">
                <a:noFill/>
              </a:ln>
              <a:effectLst/>
            </c:spPr>
            <c:extLst>
              <c:ext xmlns:c16="http://schemas.microsoft.com/office/drawing/2014/chart" uri="{C3380CC4-5D6E-409C-BE32-E72D297353CC}">
                <c16:uniqueId val="{00000003-5DC6-4B2F-9E9B-6B80D51D5839}"/>
              </c:ext>
            </c:extLst>
          </c:dPt>
          <c:val>
            <c:numRef>
              <c:f>Proccessing!$Q$11:$R$11</c:f>
              <c:numCache>
                <c:formatCode>0%</c:formatCode>
                <c:ptCount val="2"/>
                <c:pt idx="0">
                  <c:v>0.58333333333333326</c:v>
                </c:pt>
                <c:pt idx="1">
                  <c:v>0.41666666666666674</c:v>
                </c:pt>
              </c:numCache>
            </c:numRef>
          </c:val>
          <c:extLst>
            <c:ext xmlns:c16="http://schemas.microsoft.com/office/drawing/2014/chart" uri="{C3380CC4-5D6E-409C-BE32-E72D297353CC}">
              <c16:uniqueId val="{00000004-5DC6-4B2F-9E9B-6B80D51D5839}"/>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51F52B"/>
              </a:solidFill>
              <a:ln w="9525">
                <a:solidFill>
                  <a:schemeClr val="bg1"/>
                </a:solidFill>
              </a:ln>
              <a:effectLst>
                <a:outerShdw blurRad="50800" dist="38100" dir="5400000" algn="t" rotWithShape="0">
                  <a:prstClr val="black">
                    <a:alpha val="40000"/>
                  </a:prstClr>
                </a:outerShdw>
              </a:effectLst>
            </c:spPr>
          </c:marker>
          <c:xVal>
            <c:numRef>
              <c:f>Proccessing!$S$11</c:f>
              <c:numCache>
                <c:formatCode>General</c:formatCode>
                <c:ptCount val="1"/>
                <c:pt idx="0">
                  <c:v>-0.82272413359521646</c:v>
                </c:pt>
              </c:numCache>
            </c:numRef>
          </c:xVal>
          <c:yVal>
            <c:numRef>
              <c:f>Proccessing!$T$11</c:f>
              <c:numCache>
                <c:formatCode>General</c:formatCode>
                <c:ptCount val="1"/>
                <c:pt idx="0">
                  <c:v>-0.47500000000000053</c:v>
                </c:pt>
              </c:numCache>
            </c:numRef>
          </c:yVal>
          <c:smooth val="0"/>
          <c:extLst>
            <c:ext xmlns:c16="http://schemas.microsoft.com/office/drawing/2014/chart" uri="{C3380CC4-5D6E-409C-BE32-E72D297353CC}">
              <c16:uniqueId val="{00000005-5DC6-4B2F-9E9B-6B80D51D5839}"/>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Proccessing!$P$12</c:f>
              <c:strCache>
                <c:ptCount val="1"/>
                <c:pt idx="0">
                  <c:v>Relationship</c:v>
                </c:pt>
              </c:strCache>
            </c:strRef>
          </c:tx>
          <c:spPr>
            <a:ln>
              <a:noFill/>
            </a:ln>
          </c:spPr>
          <c:dPt>
            <c:idx val="0"/>
            <c:bubble3D val="0"/>
            <c:spPr>
              <a:solidFill>
                <a:srgbClr val="8439BD"/>
              </a:solidFill>
              <a:ln w="19050">
                <a:noFill/>
              </a:ln>
              <a:effectLst/>
            </c:spPr>
            <c:extLst>
              <c:ext xmlns:c16="http://schemas.microsoft.com/office/drawing/2014/chart" uri="{C3380CC4-5D6E-409C-BE32-E72D297353CC}">
                <c16:uniqueId val="{00000001-8723-4132-B56A-A55EF64E6083}"/>
              </c:ext>
            </c:extLst>
          </c:dPt>
          <c:dPt>
            <c:idx val="1"/>
            <c:bubble3D val="0"/>
            <c:spPr>
              <a:solidFill>
                <a:schemeClr val="bg1"/>
              </a:solidFill>
              <a:ln w="19050">
                <a:noFill/>
              </a:ln>
              <a:effectLst/>
            </c:spPr>
            <c:extLst>
              <c:ext xmlns:c16="http://schemas.microsoft.com/office/drawing/2014/chart" uri="{C3380CC4-5D6E-409C-BE32-E72D297353CC}">
                <c16:uniqueId val="{00000003-8723-4132-B56A-A55EF64E6083}"/>
              </c:ext>
            </c:extLst>
          </c:dPt>
          <c:val>
            <c:numRef>
              <c:f>Proccessing!$Q$12:$R$12</c:f>
              <c:numCache>
                <c:formatCode>0%</c:formatCode>
                <c:ptCount val="2"/>
                <c:pt idx="0">
                  <c:v>0.59750000000000003</c:v>
                </c:pt>
                <c:pt idx="1">
                  <c:v>0.40249999999999997</c:v>
                </c:pt>
              </c:numCache>
            </c:numRef>
          </c:val>
          <c:extLst>
            <c:ext xmlns:c16="http://schemas.microsoft.com/office/drawing/2014/chart" uri="{C3380CC4-5D6E-409C-BE32-E72D297353CC}">
              <c16:uniqueId val="{00000004-8723-4132-B56A-A55EF64E6083}"/>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8439BD"/>
              </a:solidFill>
              <a:ln w="9525">
                <a:solidFill>
                  <a:schemeClr val="bg1"/>
                </a:solidFill>
              </a:ln>
              <a:effectLst>
                <a:outerShdw blurRad="50800" dist="38100" dir="5400000" algn="t" rotWithShape="0">
                  <a:prstClr val="black">
                    <a:alpha val="40000"/>
                  </a:prstClr>
                </a:outerShdw>
              </a:effectLst>
            </c:spPr>
          </c:marker>
          <c:xVal>
            <c:numRef>
              <c:f>Proccessing!$S$12</c:f>
              <c:numCache>
                <c:formatCode>General</c:formatCode>
                <c:ptCount val="1"/>
                <c:pt idx="0">
                  <c:v>-0.86169181357689184</c:v>
                </c:pt>
              </c:numCache>
            </c:numRef>
          </c:xVal>
          <c:yVal>
            <c:numRef>
              <c:f>Proccessing!$T$12</c:f>
              <c:numCache>
                <c:formatCode>General</c:formatCode>
                <c:ptCount val="1"/>
                <c:pt idx="0">
                  <c:v>-0.39998402269911643</c:v>
                </c:pt>
              </c:numCache>
            </c:numRef>
          </c:yVal>
          <c:smooth val="0"/>
          <c:extLst>
            <c:ext xmlns:c16="http://schemas.microsoft.com/office/drawing/2014/chart" uri="{C3380CC4-5D6E-409C-BE32-E72D297353CC}">
              <c16:uniqueId val="{00000005-8723-4132-B56A-A55EF64E6083}"/>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Proccessing!$P$13</c:f>
              <c:strCache>
                <c:ptCount val="1"/>
                <c:pt idx="0">
                  <c:v>Management</c:v>
                </c:pt>
              </c:strCache>
            </c:strRef>
          </c:tx>
          <c:spPr>
            <a:ln>
              <a:noFill/>
            </a:ln>
          </c:spPr>
          <c:dPt>
            <c:idx val="0"/>
            <c:bubble3D val="0"/>
            <c:spPr>
              <a:solidFill>
                <a:srgbClr val="7BB1D3"/>
              </a:solidFill>
              <a:ln w="19050">
                <a:noFill/>
              </a:ln>
              <a:effectLst/>
            </c:spPr>
            <c:extLst>
              <c:ext xmlns:c16="http://schemas.microsoft.com/office/drawing/2014/chart" uri="{C3380CC4-5D6E-409C-BE32-E72D297353CC}">
                <c16:uniqueId val="{00000001-73CD-47A3-8315-A8D00F9BBC51}"/>
              </c:ext>
            </c:extLst>
          </c:dPt>
          <c:dPt>
            <c:idx val="1"/>
            <c:bubble3D val="0"/>
            <c:spPr>
              <a:solidFill>
                <a:schemeClr val="bg1"/>
              </a:solidFill>
              <a:ln w="19050">
                <a:noFill/>
              </a:ln>
              <a:effectLst/>
            </c:spPr>
            <c:extLst>
              <c:ext xmlns:c16="http://schemas.microsoft.com/office/drawing/2014/chart" uri="{C3380CC4-5D6E-409C-BE32-E72D297353CC}">
                <c16:uniqueId val="{00000003-73CD-47A3-8315-A8D00F9BBC51}"/>
              </c:ext>
            </c:extLst>
          </c:dPt>
          <c:val>
            <c:numRef>
              <c:f>Proccessing!$Q$13:$R$13</c:f>
              <c:numCache>
                <c:formatCode>0%</c:formatCode>
                <c:ptCount val="2"/>
                <c:pt idx="0">
                  <c:v>0.62083333333333335</c:v>
                </c:pt>
                <c:pt idx="1">
                  <c:v>0.37916666666666665</c:v>
                </c:pt>
              </c:numCache>
            </c:numRef>
          </c:val>
          <c:extLst>
            <c:ext xmlns:c16="http://schemas.microsoft.com/office/drawing/2014/chart" uri="{C3380CC4-5D6E-409C-BE32-E72D297353CC}">
              <c16:uniqueId val="{00000004-73CD-47A3-8315-A8D00F9BBC51}"/>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65A5CD"/>
              </a:solidFill>
              <a:ln w="9525">
                <a:solidFill>
                  <a:schemeClr val="bg1"/>
                </a:solidFill>
              </a:ln>
              <a:effectLst>
                <a:outerShdw blurRad="50800" dist="38100" dir="5400000" algn="t" rotWithShape="0">
                  <a:prstClr val="black">
                    <a:alpha val="40000"/>
                  </a:prstClr>
                </a:outerShdw>
              </a:effectLst>
            </c:spPr>
          </c:marker>
          <c:xVal>
            <c:numRef>
              <c:f>Proccessing!$S$13</c:f>
              <c:numCache>
                <c:formatCode>General</c:formatCode>
                <c:ptCount val="1"/>
                <c:pt idx="0">
                  <c:v>-0.91087874812478331</c:v>
                </c:pt>
              </c:numCache>
            </c:numRef>
          </c:xVal>
          <c:yVal>
            <c:numRef>
              <c:f>Proccessing!$T$13</c:f>
              <c:numCache>
                <c:formatCode>General</c:formatCode>
                <c:ptCount val="1"/>
                <c:pt idx="0">
                  <c:v>-0.2698145774687265</c:v>
                </c:pt>
              </c:numCache>
            </c:numRef>
          </c:yVal>
          <c:smooth val="0"/>
          <c:extLst>
            <c:ext xmlns:c16="http://schemas.microsoft.com/office/drawing/2014/chart" uri="{C3380CC4-5D6E-409C-BE32-E72D297353CC}">
              <c16:uniqueId val="{00000005-73CD-47A3-8315-A8D00F9BBC51}"/>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01-9684-46A7-A9AD-C0442F6872EC}"/>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03-9684-46A7-A9AD-C0442F6872EC}"/>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05-9684-46A7-A9AD-C0442F6872EC}"/>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07-9684-46A7-A9AD-C0442F6872EC}"/>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09-9684-46A7-A9AD-C0442F6872EC}"/>
              </c:ext>
            </c:extLst>
          </c:dPt>
          <c:val>
            <c:numRef>
              <c:f>Proccessing!$T$1:$X$1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9684-46A7-A9AD-C0442F6872EC}"/>
            </c:ext>
          </c:extLst>
        </c:ser>
        <c:ser>
          <c:idx val="1"/>
          <c:order val="1"/>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0C-9684-46A7-A9AD-C0442F6872EC}"/>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0E-9684-46A7-A9AD-C0442F6872EC}"/>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10-9684-46A7-A9AD-C0442F6872EC}"/>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12-9684-46A7-A9AD-C0442F6872EC}"/>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14-9684-46A7-A9AD-C0442F6872EC}"/>
              </c:ext>
            </c:extLst>
          </c:dPt>
          <c:val>
            <c:numRef>
              <c:f>Proccessing!$T$2:$X$2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9684-46A7-A9AD-C0442F6872EC}"/>
            </c:ext>
          </c:extLst>
        </c:ser>
        <c:ser>
          <c:idx val="2"/>
          <c:order val="2"/>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17-9684-46A7-A9AD-C0442F6872EC}"/>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19-9684-46A7-A9AD-C0442F6872EC}"/>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1B-9684-46A7-A9AD-C0442F6872EC}"/>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1D-9684-46A7-A9AD-C0442F6872EC}"/>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1F-9684-46A7-A9AD-C0442F6872EC}"/>
              </c:ext>
            </c:extLst>
          </c:dPt>
          <c:val>
            <c:numRef>
              <c:f>Proccessing!$T$3:$X$3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9684-46A7-A9AD-C0442F6872EC}"/>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Proccessing!$Q$1</c:f>
              <c:strCache>
                <c:ptCount val="1"/>
                <c:pt idx="0">
                  <c:v>KPI</c:v>
                </c:pt>
              </c:strCache>
            </c:strRef>
          </c:tx>
          <c:spPr>
            <a:gradFill>
              <a:gsLst>
                <a:gs pos="0">
                  <a:srgbClr val="C6B7FF">
                    <a:alpha val="30000"/>
                  </a:srgbClr>
                </a:gs>
                <a:gs pos="100000">
                  <a:srgbClr val="9954CC">
                    <a:alpha val="50000"/>
                  </a:srgbClr>
                </a:gs>
              </a:gsLst>
              <a:lin ang="5400000" scaled="1"/>
            </a:gradFill>
            <a:ln>
              <a:solidFill>
                <a:srgbClr val="9954CC"/>
              </a:solidFill>
            </a:ln>
            <a:effectLst/>
          </c:spPr>
          <c:cat>
            <c:strRef>
              <c:f>Proccessing!$P$2:$P$6</c:f>
              <c:strCache>
                <c:ptCount val="5"/>
                <c:pt idx="0">
                  <c:v>Point 1</c:v>
                </c:pt>
                <c:pt idx="1">
                  <c:v>Point 2</c:v>
                </c:pt>
                <c:pt idx="2">
                  <c:v>Point 3</c:v>
                </c:pt>
                <c:pt idx="3">
                  <c:v>Point 4</c:v>
                </c:pt>
                <c:pt idx="4">
                  <c:v>Point 5</c:v>
                </c:pt>
              </c:strCache>
            </c:strRef>
          </c:cat>
          <c:val>
            <c:numRef>
              <c:f>Proccessing!$Q$2:$Q$6</c:f>
              <c:numCache>
                <c:formatCode>General</c:formatCode>
                <c:ptCount val="5"/>
                <c:pt idx="0">
                  <c:v>422434</c:v>
                </c:pt>
                <c:pt idx="1">
                  <c:v>378765</c:v>
                </c:pt>
                <c:pt idx="2">
                  <c:v>282302</c:v>
                </c:pt>
                <c:pt idx="3">
                  <c:v>328249</c:v>
                </c:pt>
                <c:pt idx="4">
                  <c:v>422676</c:v>
                </c:pt>
              </c:numCache>
            </c:numRef>
          </c:val>
          <c:extLst>
            <c:ext xmlns:c16="http://schemas.microsoft.com/office/drawing/2014/chart" uri="{C3380CC4-5D6E-409C-BE32-E72D297353CC}">
              <c16:uniqueId val="{00000000-E700-4B09-89D3-46926DF78113}"/>
            </c:ext>
          </c:extLst>
        </c:ser>
        <c:ser>
          <c:idx val="1"/>
          <c:order val="1"/>
          <c:tx>
            <c:strRef>
              <c:f>Proccessing!$R$1</c:f>
              <c:strCache>
                <c:ptCount val="1"/>
                <c:pt idx="0">
                  <c:v>Cost</c:v>
                </c:pt>
              </c:strCache>
            </c:strRef>
          </c:tx>
          <c:spPr>
            <a:gradFill>
              <a:gsLst>
                <a:gs pos="0">
                  <a:srgbClr val="98F29C">
                    <a:alpha val="30000"/>
                  </a:srgbClr>
                </a:gs>
                <a:gs pos="100000">
                  <a:srgbClr val="5BF636">
                    <a:alpha val="50000"/>
                  </a:srgbClr>
                </a:gs>
              </a:gsLst>
              <a:lin ang="5400000" scaled="1"/>
            </a:gradFill>
            <a:ln>
              <a:solidFill>
                <a:srgbClr val="5BF636"/>
              </a:solidFill>
            </a:ln>
            <a:effectLst/>
          </c:spPr>
          <c:cat>
            <c:strRef>
              <c:f>Proccessing!$P$2:$P$6</c:f>
              <c:strCache>
                <c:ptCount val="5"/>
                <c:pt idx="0">
                  <c:v>Point 1</c:v>
                </c:pt>
                <c:pt idx="1">
                  <c:v>Point 2</c:v>
                </c:pt>
                <c:pt idx="2">
                  <c:v>Point 3</c:v>
                </c:pt>
                <c:pt idx="3">
                  <c:v>Point 4</c:v>
                </c:pt>
                <c:pt idx="4">
                  <c:v>Point 5</c:v>
                </c:pt>
              </c:strCache>
            </c:strRef>
          </c:cat>
          <c:val>
            <c:numRef>
              <c:f>Proccessing!$R$2:$R$6</c:f>
              <c:numCache>
                <c:formatCode>General</c:formatCode>
                <c:ptCount val="5"/>
                <c:pt idx="0">
                  <c:v>380379</c:v>
                </c:pt>
                <c:pt idx="1">
                  <c:v>338012</c:v>
                </c:pt>
                <c:pt idx="2">
                  <c:v>373511</c:v>
                </c:pt>
                <c:pt idx="3">
                  <c:v>337292</c:v>
                </c:pt>
                <c:pt idx="4">
                  <c:v>366652</c:v>
                </c:pt>
              </c:numCache>
            </c:numRef>
          </c:val>
          <c:extLst>
            <c:ext xmlns:c16="http://schemas.microsoft.com/office/drawing/2014/chart" uri="{C3380CC4-5D6E-409C-BE32-E72D297353CC}">
              <c16:uniqueId val="{00000001-E700-4B09-89D3-46926DF78113}"/>
            </c:ext>
          </c:extLst>
        </c:ser>
        <c:dLbls>
          <c:showLegendKey val="0"/>
          <c:showVal val="0"/>
          <c:showCatName val="0"/>
          <c:showSerName val="0"/>
          <c:showPercent val="0"/>
          <c:showBubbleSize val="0"/>
        </c:dLbls>
        <c:axId val="417296488"/>
        <c:axId val="417302392"/>
      </c:radarChart>
      <c:catAx>
        <c:axId val="41729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02392"/>
        <c:crosses val="autoZero"/>
        <c:auto val="1"/>
        <c:lblAlgn val="ctr"/>
        <c:lblOffset val="100"/>
        <c:noMultiLvlLbl val="0"/>
      </c:catAx>
      <c:valAx>
        <c:axId val="417302392"/>
        <c:scaling>
          <c:orientation val="minMax"/>
        </c:scaling>
        <c:delete val="1"/>
        <c:axPos val="l"/>
        <c:numFmt formatCode="General" sourceLinked="1"/>
        <c:majorTickMark val="none"/>
        <c:minorTickMark val="none"/>
        <c:tickLblPos val="nextTo"/>
        <c:crossAx val="41729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Active</c:v>
          </c:tx>
          <c:spPr>
            <a:gradFill flip="none" rotWithShape="1">
              <a:gsLst>
                <a:gs pos="0">
                  <a:srgbClr val="67F753">
                    <a:alpha val="82000"/>
                  </a:srgbClr>
                </a:gs>
                <a:gs pos="100000">
                  <a:srgbClr val="8FF194">
                    <a:alpha val="0"/>
                  </a:srgbClr>
                </a:gs>
              </a:gsLst>
              <a:lin ang="5400000" scaled="0"/>
              <a:tileRect/>
            </a:gradFill>
            <a:ln w="25400">
              <a:noFill/>
            </a:ln>
            <a:effectLst/>
          </c:spPr>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extLst>
            <c:ext xmlns:c16="http://schemas.microsoft.com/office/drawing/2014/chart" uri="{C3380CC4-5D6E-409C-BE32-E72D297353CC}">
              <c16:uniqueId val="{00000000-68D1-42AB-9C14-88EE49F436EB}"/>
            </c:ext>
          </c:extLst>
        </c:ser>
        <c:ser>
          <c:idx val="5"/>
          <c:order val="5"/>
          <c:tx>
            <c:v>Fill Average</c:v>
          </c:tx>
          <c:spPr>
            <a:gradFill>
              <a:gsLst>
                <a:gs pos="0">
                  <a:srgbClr val="BC8EDE">
                    <a:alpha val="82000"/>
                  </a:srgbClr>
                </a:gs>
                <a:gs pos="100000">
                  <a:srgbClr val="BC8EDE">
                    <a:alpha val="8000"/>
                  </a:srgbClr>
                </a:gs>
              </a:gsLst>
              <a:lin ang="5400000" scaled="0"/>
            </a:gradFill>
            <a:ln w="25400">
              <a:noFill/>
            </a:ln>
            <a:effectLst/>
          </c:spPr>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extLst>
            <c:ext xmlns:c16="http://schemas.microsoft.com/office/drawing/2014/chart" uri="{C3380CC4-5D6E-409C-BE32-E72D297353CC}">
              <c16:uniqueId val="{00000001-68D1-42AB-9C14-88EE49F436EB}"/>
            </c:ext>
          </c:extLst>
        </c:ser>
        <c:dLbls>
          <c:showLegendKey val="0"/>
          <c:showVal val="0"/>
          <c:showCatName val="0"/>
          <c:showSerName val="0"/>
          <c:showPercent val="0"/>
          <c:showBubbleSize val="0"/>
        </c:dLbls>
        <c:axId val="351840664"/>
        <c:axId val="351833448"/>
      </c:areaChart>
      <c:lineChart>
        <c:grouping val="standard"/>
        <c:varyColors val="0"/>
        <c:ser>
          <c:idx val="0"/>
          <c:order val="0"/>
          <c:tx>
            <c:strRef>
              <c:f>Proccessing!$B$1</c:f>
              <c:strCache>
                <c:ptCount val="1"/>
                <c:pt idx="0">
                  <c:v>Active Client Count</c:v>
                </c:pt>
              </c:strCache>
            </c:strRef>
          </c:tx>
          <c:spPr>
            <a:ln w="19050" cap="rnd">
              <a:solidFill>
                <a:srgbClr val="51F52B"/>
              </a:solidFill>
              <a:round/>
            </a:ln>
            <a:effectLst/>
          </c:spPr>
          <c:marker>
            <c:symbol val="circle"/>
            <c:size val="7"/>
            <c:spPr>
              <a:solidFill>
                <a:schemeClr val="bg1"/>
              </a:solidFill>
              <a:ln w="9525">
                <a:solidFill>
                  <a:srgbClr val="51F52B"/>
                </a:solidFill>
              </a:ln>
              <a:effectLst/>
            </c:spPr>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smooth val="1"/>
          <c:extLst>
            <c:ext xmlns:c16="http://schemas.microsoft.com/office/drawing/2014/chart" uri="{C3380CC4-5D6E-409C-BE32-E72D297353CC}">
              <c16:uniqueId val="{00000002-68D1-42AB-9C14-88EE49F436EB}"/>
            </c:ext>
          </c:extLst>
        </c:ser>
        <c:ser>
          <c:idx val="1"/>
          <c:order val="1"/>
          <c:tx>
            <c:strRef>
              <c:f>Proccessing!$C$1</c:f>
              <c:strCache>
                <c:ptCount val="1"/>
                <c:pt idx="0">
                  <c:v>Average Client Count</c:v>
                </c:pt>
              </c:strCache>
            </c:strRef>
          </c:tx>
          <c:spPr>
            <a:ln w="28575" cap="rnd">
              <a:solidFill>
                <a:srgbClr val="A893FF"/>
              </a:solidFill>
              <a:round/>
            </a:ln>
            <a:effectLst/>
          </c:spPr>
          <c:marker>
            <c:symbol val="circle"/>
            <c:size val="7"/>
            <c:spPr>
              <a:solidFill>
                <a:schemeClr val="bg1"/>
              </a:solidFill>
              <a:ln w="9525">
                <a:solidFill>
                  <a:srgbClr val="A893FF"/>
                </a:solidFill>
              </a:ln>
              <a:effectLst/>
            </c:spPr>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smooth val="1"/>
          <c:extLst>
            <c:ext xmlns:c16="http://schemas.microsoft.com/office/drawing/2014/chart" uri="{C3380CC4-5D6E-409C-BE32-E72D297353CC}">
              <c16:uniqueId val="{00000003-68D1-42AB-9C14-88EE49F436EB}"/>
            </c:ext>
          </c:extLst>
        </c:ser>
        <c:dLbls>
          <c:showLegendKey val="0"/>
          <c:showVal val="0"/>
          <c:showCatName val="0"/>
          <c:showSerName val="0"/>
          <c:showPercent val="0"/>
          <c:showBubbleSize val="0"/>
        </c:dLbls>
        <c:marker val="1"/>
        <c:smooth val="0"/>
        <c:axId val="351840664"/>
        <c:axId val="351833448"/>
      </c:lineChart>
      <c:scatterChart>
        <c:scatterStyle val="lineMarker"/>
        <c:varyColors val="0"/>
        <c:ser>
          <c:idx val="2"/>
          <c:order val="2"/>
          <c:tx>
            <c:strRef>
              <c:f>Proccessing!$D$1</c:f>
              <c:strCache>
                <c:ptCount val="1"/>
                <c:pt idx="0">
                  <c:v>Select Active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yVal>
          <c:smooth val="0"/>
          <c:extLst>
            <c:ext xmlns:c16="http://schemas.microsoft.com/office/drawing/2014/chart" uri="{C3380CC4-5D6E-409C-BE32-E72D297353CC}">
              <c16:uniqueId val="{00000004-68D1-42AB-9C14-88EE49F436EB}"/>
            </c:ext>
          </c:extLst>
        </c:ser>
        <c:ser>
          <c:idx val="3"/>
          <c:order val="3"/>
          <c:tx>
            <c:strRef>
              <c:f>Proccessing!$E$1</c:f>
              <c:strCache>
                <c:ptCount val="1"/>
                <c:pt idx="0">
                  <c:v>Select Average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yVal>
          <c:smooth val="0"/>
          <c:extLst>
            <c:ext xmlns:c16="http://schemas.microsoft.com/office/drawing/2014/chart" uri="{C3380CC4-5D6E-409C-BE32-E72D297353CC}">
              <c16:uniqueId val="{00000005-68D1-42AB-9C14-88EE49F436EB}"/>
            </c:ext>
          </c:extLst>
        </c:ser>
        <c:dLbls>
          <c:showLegendKey val="0"/>
          <c:showVal val="0"/>
          <c:showCatName val="0"/>
          <c:showSerName val="0"/>
          <c:showPercent val="0"/>
          <c:showBubbleSize val="0"/>
        </c:dLbls>
        <c:axId val="351840664"/>
        <c:axId val="351833448"/>
      </c:scatterChart>
      <c:catAx>
        <c:axId val="351840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33448"/>
        <c:crosses val="autoZero"/>
        <c:auto val="1"/>
        <c:lblAlgn val="ctr"/>
        <c:lblOffset val="100"/>
        <c:noMultiLvlLbl val="0"/>
      </c:catAx>
      <c:valAx>
        <c:axId val="351833448"/>
        <c:scaling>
          <c:orientation val="minMax"/>
        </c:scaling>
        <c:delete val="1"/>
        <c:axPos val="l"/>
        <c:numFmt formatCode="General" sourceLinked="1"/>
        <c:majorTickMark val="none"/>
        <c:minorTickMark val="none"/>
        <c:tickLblPos val="nextTo"/>
        <c:crossAx val="351840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0-A313-49D0-97DA-5CE289035850}"/>
            </c:ext>
          </c:extLst>
        </c:ser>
        <c:ser>
          <c:idx val="0"/>
          <c:order val="1"/>
          <c:tx>
            <c:strRef>
              <c:f>Proccessing!$J$1</c:f>
              <c:strCache>
                <c:ptCount val="1"/>
                <c:pt idx="0">
                  <c:v>Total</c:v>
                </c:pt>
              </c:strCache>
            </c:strRef>
          </c:tx>
          <c:spPr>
            <a:solidFill>
              <a:srgbClr val="C3DCEB"/>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Proccessing!$J$2:$J$13</c:f>
              <c:numCache>
                <c:formatCode>General</c:formatCode>
                <c:ptCount val="12"/>
                <c:pt idx="0">
                  <c:v>1591</c:v>
                </c:pt>
                <c:pt idx="1">
                  <c:v>1413</c:v>
                </c:pt>
                <c:pt idx="2">
                  <c:v>1746</c:v>
                </c:pt>
                <c:pt idx="3">
                  <c:v>1446</c:v>
                </c:pt>
                <c:pt idx="4">
                  <c:v>1494</c:v>
                </c:pt>
                <c:pt idx="5">
                  <c:v>1362</c:v>
                </c:pt>
                <c:pt idx="6">
                  <c:v>1266</c:v>
                </c:pt>
                <c:pt idx="7">
                  <c:v>1467</c:v>
                </c:pt>
                <c:pt idx="8">
                  <c:v>1316</c:v>
                </c:pt>
                <c:pt idx="9">
                  <c:v>1785</c:v>
                </c:pt>
                <c:pt idx="10">
                  <c:v>1534</c:v>
                </c:pt>
                <c:pt idx="11">
                  <c:v>1858</c:v>
                </c:pt>
              </c:numCache>
            </c:numRef>
          </c:val>
          <c:extLst>
            <c:ext xmlns:c16="http://schemas.microsoft.com/office/drawing/2014/chart" uri="{C3380CC4-5D6E-409C-BE32-E72D297353CC}">
              <c16:uniqueId val="{00000001-A313-49D0-97DA-5CE289035850}"/>
            </c:ext>
          </c:extLst>
        </c:ser>
        <c:ser>
          <c:idx val="5"/>
          <c:order val="2"/>
          <c:tx>
            <c:strRef>
              <c:f>Proccessing!$M$1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2-A313-49D0-97DA-5CE289035850}"/>
            </c:ext>
          </c:extLst>
        </c:ser>
        <c:dLbls>
          <c:showLegendKey val="0"/>
          <c:showVal val="0"/>
          <c:showCatName val="0"/>
          <c:showSerName val="0"/>
          <c:showPercent val="0"/>
          <c:showBubbleSize val="0"/>
        </c:dLbls>
        <c:gapWidth val="80"/>
        <c:overlap val="100"/>
        <c:axId val="412559248"/>
        <c:axId val="412556952"/>
      </c:barChart>
      <c:barChart>
        <c:barDir val="col"/>
        <c:grouping val="stacked"/>
        <c:varyColors val="0"/>
        <c:ser>
          <c:idx val="4"/>
          <c:order val="3"/>
          <c:tx>
            <c:strRef>
              <c:f>Proccessing!$N$1</c:f>
              <c:strCache>
                <c:ptCount val="1"/>
                <c:pt idx="0">
                  <c:v>Indent Select </c:v>
                </c:pt>
              </c:strCache>
            </c:strRef>
          </c:tx>
          <c:spPr>
            <a:blipFill>
              <a:blip xmlns:r="http://schemas.openxmlformats.org/officeDocument/2006/relationships" r:embed="rId5"/>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3-A313-49D0-97DA-5CE289035850}"/>
            </c:ext>
          </c:extLst>
        </c:ser>
        <c:ser>
          <c:idx val="1"/>
          <c:order val="4"/>
          <c:tx>
            <c:strRef>
              <c:f>Proccessing!$K$1</c:f>
              <c:strCache>
                <c:ptCount val="1"/>
                <c:pt idx="0">
                  <c:v>New Select</c:v>
                </c:pt>
              </c:strCache>
            </c:strRef>
          </c:tx>
          <c:spPr>
            <a:solidFill>
              <a:srgbClr val="8439BD"/>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Proccessing!$K$2:$K$13</c:f>
              <c:numCache>
                <c:formatCode>General</c:formatCode>
                <c:ptCount val="12"/>
                <c:pt idx="0">
                  <c:v>654</c:v>
                </c:pt>
                <c:pt idx="1">
                  <c:v>756</c:v>
                </c:pt>
                <c:pt idx="2">
                  <c:v>885</c:v>
                </c:pt>
                <c:pt idx="3">
                  <c:v>835</c:v>
                </c:pt>
                <c:pt idx="4">
                  <c:v>853</c:v>
                </c:pt>
                <c:pt idx="5">
                  <c:v>615</c:v>
                </c:pt>
                <c:pt idx="6">
                  <c:v>671</c:v>
                </c:pt>
                <c:pt idx="7">
                  <c:v>835</c:v>
                </c:pt>
                <c:pt idx="8">
                  <c:v>562</c:v>
                </c:pt>
                <c:pt idx="9">
                  <c:v>1040</c:v>
                </c:pt>
                <c:pt idx="10">
                  <c:v>877</c:v>
                </c:pt>
                <c:pt idx="11">
                  <c:v>905</c:v>
                </c:pt>
              </c:numCache>
            </c:numRef>
          </c:val>
          <c:extLst>
            <c:ext xmlns:c16="http://schemas.microsoft.com/office/drawing/2014/chart" uri="{C3380CC4-5D6E-409C-BE32-E72D297353CC}">
              <c16:uniqueId val="{00000004-A313-49D0-97DA-5CE289035850}"/>
            </c:ext>
          </c:extLst>
        </c:ser>
        <c:ser>
          <c:idx val="2"/>
          <c:order val="5"/>
          <c:tx>
            <c:strRef>
              <c:f>Proccessing!$L$1</c:f>
              <c:strCache>
                <c:ptCount val="1"/>
                <c:pt idx="0">
                  <c:v>Regular Select</c:v>
                </c:pt>
              </c:strCache>
            </c:strRef>
          </c:tx>
          <c:spPr>
            <a:solidFill>
              <a:srgbClr val="51F52B"/>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Proccessing!$L$2:$L$13</c:f>
              <c:numCache>
                <c:formatCode>General</c:formatCode>
                <c:ptCount val="12"/>
                <c:pt idx="0">
                  <c:v>937</c:v>
                </c:pt>
                <c:pt idx="1">
                  <c:v>657</c:v>
                </c:pt>
                <c:pt idx="2">
                  <c:v>861</c:v>
                </c:pt>
                <c:pt idx="3">
                  <c:v>611</c:v>
                </c:pt>
                <c:pt idx="4">
                  <c:v>641</c:v>
                </c:pt>
                <c:pt idx="5">
                  <c:v>747</c:v>
                </c:pt>
                <c:pt idx="6">
                  <c:v>595</c:v>
                </c:pt>
                <c:pt idx="7">
                  <c:v>632</c:v>
                </c:pt>
                <c:pt idx="8">
                  <c:v>754</c:v>
                </c:pt>
                <c:pt idx="9">
                  <c:v>745</c:v>
                </c:pt>
                <c:pt idx="10">
                  <c:v>657</c:v>
                </c:pt>
                <c:pt idx="11">
                  <c:v>953</c:v>
                </c:pt>
              </c:numCache>
            </c:numRef>
          </c:val>
          <c:extLst>
            <c:ext xmlns:c16="http://schemas.microsoft.com/office/drawing/2014/chart" uri="{C3380CC4-5D6E-409C-BE32-E72D297353CC}">
              <c16:uniqueId val="{00000005-A313-49D0-97DA-5CE289035850}"/>
            </c:ext>
          </c:extLst>
        </c:ser>
        <c:ser>
          <c:idx val="6"/>
          <c:order val="6"/>
          <c:tx>
            <c:strRef>
              <c:f>Proccessing!$N$1</c:f>
              <c:strCache>
                <c:ptCount val="1"/>
                <c:pt idx="0">
                  <c:v>Indent Select </c:v>
                </c:pt>
              </c:strCache>
            </c:strRef>
          </c:tx>
          <c:spPr>
            <a:blipFill>
              <a:blip xmlns:r="http://schemas.openxmlformats.org/officeDocument/2006/relationships" r:embed="rId6"/>
              <a:stretch>
                <a:fillRect/>
              </a:stretch>
            </a:blipFill>
            <a:ln>
              <a:noFill/>
            </a:ln>
            <a:effectLst/>
          </c:spPr>
          <c:invertIfNegative val="0"/>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6-A313-49D0-97DA-5CE289035850}"/>
            </c:ext>
          </c:extLst>
        </c:ser>
        <c:dLbls>
          <c:showLegendKey val="0"/>
          <c:showVal val="0"/>
          <c:showCatName val="0"/>
          <c:showSerName val="0"/>
          <c:showPercent val="0"/>
          <c:showBubbleSize val="0"/>
        </c:dLbls>
        <c:gapWidth val="80"/>
        <c:overlap val="100"/>
        <c:axId val="412565808"/>
        <c:axId val="412565152"/>
      </c:barChart>
      <c:catAx>
        <c:axId val="412559248"/>
        <c:scaling>
          <c:orientation val="minMax"/>
        </c:scaling>
        <c:delete val="1"/>
        <c:axPos val="b"/>
        <c:numFmt formatCode="General" sourceLinked="1"/>
        <c:majorTickMark val="out"/>
        <c:minorTickMark val="none"/>
        <c:tickLblPos val="nextTo"/>
        <c:crossAx val="412556952"/>
        <c:crosses val="autoZero"/>
        <c:auto val="1"/>
        <c:lblAlgn val="ctr"/>
        <c:lblOffset val="100"/>
        <c:noMultiLvlLbl val="0"/>
      </c:catAx>
      <c:valAx>
        <c:axId val="412556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559248"/>
        <c:crosses val="autoZero"/>
        <c:crossBetween val="between"/>
      </c:valAx>
      <c:valAx>
        <c:axId val="412565152"/>
        <c:scaling>
          <c:orientation val="minMax"/>
        </c:scaling>
        <c:delete val="1"/>
        <c:axPos val="r"/>
        <c:numFmt formatCode="General" sourceLinked="1"/>
        <c:majorTickMark val="out"/>
        <c:minorTickMark val="none"/>
        <c:tickLblPos val="nextTo"/>
        <c:crossAx val="412565808"/>
        <c:crosses val="max"/>
        <c:crossBetween val="between"/>
      </c:valAx>
      <c:catAx>
        <c:axId val="412565808"/>
        <c:scaling>
          <c:orientation val="minMax"/>
        </c:scaling>
        <c:delete val="1"/>
        <c:axPos val="t"/>
        <c:numFmt formatCode="General" sourceLinked="1"/>
        <c:majorTickMark val="out"/>
        <c:minorTickMark val="none"/>
        <c:tickLblPos val="nextTo"/>
        <c:crossAx val="412565152"/>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lgn="just">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Proccessing!$P$11</c:f>
              <c:strCache>
                <c:ptCount val="1"/>
                <c:pt idx="0">
                  <c:v>Customer</c:v>
                </c:pt>
              </c:strCache>
            </c:strRef>
          </c:tx>
          <c:spPr>
            <a:ln>
              <a:noFill/>
            </a:ln>
          </c:spPr>
          <c:dPt>
            <c:idx val="0"/>
            <c:bubble3D val="0"/>
            <c:spPr>
              <a:solidFill>
                <a:srgbClr val="51F52B"/>
              </a:solidFill>
              <a:ln w="19050">
                <a:noFill/>
              </a:ln>
              <a:effectLst/>
            </c:spPr>
            <c:extLst>
              <c:ext xmlns:c16="http://schemas.microsoft.com/office/drawing/2014/chart" uri="{C3380CC4-5D6E-409C-BE32-E72D297353CC}">
                <c16:uniqueId val="{00000001-C6D3-4ED0-A67D-0F89C7227D9A}"/>
              </c:ext>
            </c:extLst>
          </c:dPt>
          <c:dPt>
            <c:idx val="1"/>
            <c:bubble3D val="0"/>
            <c:spPr>
              <a:solidFill>
                <a:schemeClr val="bg1"/>
              </a:solidFill>
              <a:ln w="19050">
                <a:noFill/>
              </a:ln>
              <a:effectLst/>
            </c:spPr>
            <c:extLst>
              <c:ext xmlns:c16="http://schemas.microsoft.com/office/drawing/2014/chart" uri="{C3380CC4-5D6E-409C-BE32-E72D297353CC}">
                <c16:uniqueId val="{00000003-C6D3-4ED0-A67D-0F89C7227D9A}"/>
              </c:ext>
            </c:extLst>
          </c:dPt>
          <c:val>
            <c:numRef>
              <c:f>Proccessing!$Q$11:$R$11</c:f>
              <c:numCache>
                <c:formatCode>0%</c:formatCode>
                <c:ptCount val="2"/>
                <c:pt idx="0">
                  <c:v>0.58333333333333326</c:v>
                </c:pt>
                <c:pt idx="1">
                  <c:v>0.41666666666666674</c:v>
                </c:pt>
              </c:numCache>
            </c:numRef>
          </c:val>
          <c:extLst>
            <c:ext xmlns:c16="http://schemas.microsoft.com/office/drawing/2014/chart" uri="{C3380CC4-5D6E-409C-BE32-E72D297353CC}">
              <c16:uniqueId val="{00000004-C6D3-4ED0-A67D-0F89C7227D9A}"/>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51F52B"/>
              </a:solidFill>
              <a:ln w="9525">
                <a:solidFill>
                  <a:schemeClr val="bg1"/>
                </a:solidFill>
              </a:ln>
              <a:effectLst>
                <a:outerShdw blurRad="50800" dist="38100" dir="5400000" algn="t" rotWithShape="0">
                  <a:prstClr val="black">
                    <a:alpha val="40000"/>
                  </a:prstClr>
                </a:outerShdw>
              </a:effectLst>
            </c:spPr>
          </c:marker>
          <c:xVal>
            <c:numRef>
              <c:f>Proccessing!$S$11</c:f>
              <c:numCache>
                <c:formatCode>General</c:formatCode>
                <c:ptCount val="1"/>
                <c:pt idx="0">
                  <c:v>-0.82272413359521646</c:v>
                </c:pt>
              </c:numCache>
            </c:numRef>
          </c:xVal>
          <c:yVal>
            <c:numRef>
              <c:f>Proccessing!$T$11</c:f>
              <c:numCache>
                <c:formatCode>General</c:formatCode>
                <c:ptCount val="1"/>
                <c:pt idx="0">
                  <c:v>-0.47500000000000053</c:v>
                </c:pt>
              </c:numCache>
            </c:numRef>
          </c:yVal>
          <c:smooth val="0"/>
          <c:extLst>
            <c:ext xmlns:c16="http://schemas.microsoft.com/office/drawing/2014/chart" uri="{C3380CC4-5D6E-409C-BE32-E72D297353CC}">
              <c16:uniqueId val="{00000005-C6D3-4ED0-A67D-0F89C7227D9A}"/>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Proccessing!$P$12</c:f>
              <c:strCache>
                <c:ptCount val="1"/>
                <c:pt idx="0">
                  <c:v>Relationship</c:v>
                </c:pt>
              </c:strCache>
            </c:strRef>
          </c:tx>
          <c:spPr>
            <a:ln>
              <a:noFill/>
            </a:ln>
          </c:spPr>
          <c:dPt>
            <c:idx val="0"/>
            <c:bubble3D val="0"/>
            <c:spPr>
              <a:solidFill>
                <a:srgbClr val="8439BD"/>
              </a:solidFill>
              <a:ln w="19050">
                <a:noFill/>
              </a:ln>
              <a:effectLst/>
            </c:spPr>
            <c:extLst>
              <c:ext xmlns:c16="http://schemas.microsoft.com/office/drawing/2014/chart" uri="{C3380CC4-5D6E-409C-BE32-E72D297353CC}">
                <c16:uniqueId val="{00000001-3093-4AFA-B441-0241B44FF0C8}"/>
              </c:ext>
            </c:extLst>
          </c:dPt>
          <c:dPt>
            <c:idx val="1"/>
            <c:bubble3D val="0"/>
            <c:spPr>
              <a:solidFill>
                <a:schemeClr val="bg1"/>
              </a:solidFill>
              <a:ln w="19050">
                <a:noFill/>
              </a:ln>
              <a:effectLst/>
            </c:spPr>
            <c:extLst>
              <c:ext xmlns:c16="http://schemas.microsoft.com/office/drawing/2014/chart" uri="{C3380CC4-5D6E-409C-BE32-E72D297353CC}">
                <c16:uniqueId val="{00000003-3093-4AFA-B441-0241B44FF0C8}"/>
              </c:ext>
            </c:extLst>
          </c:dPt>
          <c:val>
            <c:numRef>
              <c:f>Proccessing!$Q$12:$R$12</c:f>
              <c:numCache>
                <c:formatCode>0%</c:formatCode>
                <c:ptCount val="2"/>
                <c:pt idx="0">
                  <c:v>0.59750000000000003</c:v>
                </c:pt>
                <c:pt idx="1">
                  <c:v>0.40249999999999997</c:v>
                </c:pt>
              </c:numCache>
            </c:numRef>
          </c:val>
          <c:extLst>
            <c:ext xmlns:c16="http://schemas.microsoft.com/office/drawing/2014/chart" uri="{C3380CC4-5D6E-409C-BE32-E72D297353CC}">
              <c16:uniqueId val="{00000004-3093-4AFA-B441-0241B44FF0C8}"/>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8439BD"/>
              </a:solidFill>
              <a:ln w="9525">
                <a:solidFill>
                  <a:schemeClr val="bg1"/>
                </a:solidFill>
              </a:ln>
              <a:effectLst>
                <a:outerShdw blurRad="50800" dist="38100" dir="5400000" algn="t" rotWithShape="0">
                  <a:prstClr val="black">
                    <a:alpha val="40000"/>
                  </a:prstClr>
                </a:outerShdw>
              </a:effectLst>
            </c:spPr>
          </c:marker>
          <c:xVal>
            <c:numRef>
              <c:f>Proccessing!$S$12</c:f>
              <c:numCache>
                <c:formatCode>General</c:formatCode>
                <c:ptCount val="1"/>
                <c:pt idx="0">
                  <c:v>-0.86169181357689184</c:v>
                </c:pt>
              </c:numCache>
            </c:numRef>
          </c:xVal>
          <c:yVal>
            <c:numRef>
              <c:f>Proccessing!$T$12</c:f>
              <c:numCache>
                <c:formatCode>General</c:formatCode>
                <c:ptCount val="1"/>
                <c:pt idx="0">
                  <c:v>-0.39998402269911643</c:v>
                </c:pt>
              </c:numCache>
            </c:numRef>
          </c:yVal>
          <c:smooth val="0"/>
          <c:extLst>
            <c:ext xmlns:c16="http://schemas.microsoft.com/office/drawing/2014/chart" uri="{C3380CC4-5D6E-409C-BE32-E72D297353CC}">
              <c16:uniqueId val="{00000005-3093-4AFA-B441-0241B44FF0C8}"/>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Proccessing!$P$13</c:f>
              <c:strCache>
                <c:ptCount val="1"/>
                <c:pt idx="0">
                  <c:v>Management</c:v>
                </c:pt>
              </c:strCache>
            </c:strRef>
          </c:tx>
          <c:spPr>
            <a:ln>
              <a:noFill/>
            </a:ln>
          </c:spPr>
          <c:dPt>
            <c:idx val="0"/>
            <c:bubble3D val="0"/>
            <c:spPr>
              <a:solidFill>
                <a:srgbClr val="7BB1D3"/>
              </a:solidFill>
              <a:ln w="19050">
                <a:noFill/>
              </a:ln>
              <a:effectLst/>
            </c:spPr>
            <c:extLst>
              <c:ext xmlns:c16="http://schemas.microsoft.com/office/drawing/2014/chart" uri="{C3380CC4-5D6E-409C-BE32-E72D297353CC}">
                <c16:uniqueId val="{00000001-7FC4-4FEB-887A-3DC2EEB04A5A}"/>
              </c:ext>
            </c:extLst>
          </c:dPt>
          <c:dPt>
            <c:idx val="1"/>
            <c:bubble3D val="0"/>
            <c:spPr>
              <a:solidFill>
                <a:schemeClr val="bg1"/>
              </a:solidFill>
              <a:ln w="19050">
                <a:noFill/>
              </a:ln>
              <a:effectLst/>
            </c:spPr>
            <c:extLst>
              <c:ext xmlns:c16="http://schemas.microsoft.com/office/drawing/2014/chart" uri="{C3380CC4-5D6E-409C-BE32-E72D297353CC}">
                <c16:uniqueId val="{00000003-7FC4-4FEB-887A-3DC2EEB04A5A}"/>
              </c:ext>
            </c:extLst>
          </c:dPt>
          <c:val>
            <c:numRef>
              <c:f>Proccessing!$Q$13:$R$13</c:f>
              <c:numCache>
                <c:formatCode>0%</c:formatCode>
                <c:ptCount val="2"/>
                <c:pt idx="0">
                  <c:v>0.62083333333333335</c:v>
                </c:pt>
                <c:pt idx="1">
                  <c:v>0.37916666666666665</c:v>
                </c:pt>
              </c:numCache>
            </c:numRef>
          </c:val>
          <c:extLst>
            <c:ext xmlns:c16="http://schemas.microsoft.com/office/drawing/2014/chart" uri="{C3380CC4-5D6E-409C-BE32-E72D297353CC}">
              <c16:uniqueId val="{00000004-7FC4-4FEB-887A-3DC2EEB04A5A}"/>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65A5CD"/>
              </a:solidFill>
              <a:ln w="9525">
                <a:solidFill>
                  <a:schemeClr val="bg1"/>
                </a:solidFill>
              </a:ln>
              <a:effectLst>
                <a:outerShdw blurRad="50800" dist="38100" dir="5400000" algn="t" rotWithShape="0">
                  <a:prstClr val="black">
                    <a:alpha val="40000"/>
                  </a:prstClr>
                </a:outerShdw>
              </a:effectLst>
            </c:spPr>
          </c:marker>
          <c:xVal>
            <c:numRef>
              <c:f>Proccessing!$S$13</c:f>
              <c:numCache>
                <c:formatCode>General</c:formatCode>
                <c:ptCount val="1"/>
                <c:pt idx="0">
                  <c:v>-0.91087874812478331</c:v>
                </c:pt>
              </c:numCache>
            </c:numRef>
          </c:xVal>
          <c:yVal>
            <c:numRef>
              <c:f>Proccessing!$T$13</c:f>
              <c:numCache>
                <c:formatCode>General</c:formatCode>
                <c:ptCount val="1"/>
                <c:pt idx="0">
                  <c:v>-0.2698145774687265</c:v>
                </c:pt>
              </c:numCache>
            </c:numRef>
          </c:yVal>
          <c:smooth val="0"/>
          <c:extLst>
            <c:ext xmlns:c16="http://schemas.microsoft.com/office/drawing/2014/chart" uri="{C3380CC4-5D6E-409C-BE32-E72D297353CC}">
              <c16:uniqueId val="{00000005-7FC4-4FEB-887A-3DC2EEB04A5A}"/>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01-9763-4B4A-8EA0-A878CB1331FE}"/>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03-9763-4B4A-8EA0-A878CB1331FE}"/>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05-9763-4B4A-8EA0-A878CB1331FE}"/>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07-9763-4B4A-8EA0-A878CB1331FE}"/>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09-9763-4B4A-8EA0-A878CB1331FE}"/>
              </c:ext>
            </c:extLst>
          </c:dPt>
          <c:val>
            <c:numRef>
              <c:f>Proccessing!$T$1:$X$1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9763-4B4A-8EA0-A878CB1331FE}"/>
            </c:ext>
          </c:extLst>
        </c:ser>
        <c:ser>
          <c:idx val="1"/>
          <c:order val="1"/>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0C-9763-4B4A-8EA0-A878CB1331FE}"/>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0E-9763-4B4A-8EA0-A878CB1331FE}"/>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10-9763-4B4A-8EA0-A878CB1331FE}"/>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12-9763-4B4A-8EA0-A878CB1331FE}"/>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14-9763-4B4A-8EA0-A878CB1331FE}"/>
              </c:ext>
            </c:extLst>
          </c:dPt>
          <c:val>
            <c:numRef>
              <c:f>Proccessing!$T$2:$X$2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9763-4B4A-8EA0-A878CB1331FE}"/>
            </c:ext>
          </c:extLst>
        </c:ser>
        <c:ser>
          <c:idx val="2"/>
          <c:order val="2"/>
          <c:spPr>
            <a:solidFill>
              <a:srgbClr val="C3DCEB"/>
            </a:solidFill>
            <a:ln w="9525"/>
          </c:spPr>
          <c:dPt>
            <c:idx val="0"/>
            <c:bubble3D val="0"/>
            <c:spPr>
              <a:solidFill>
                <a:srgbClr val="C3DCEB"/>
              </a:solidFill>
              <a:ln w="9525">
                <a:solidFill>
                  <a:schemeClr val="lt1"/>
                </a:solidFill>
              </a:ln>
              <a:effectLst/>
            </c:spPr>
            <c:extLst>
              <c:ext xmlns:c16="http://schemas.microsoft.com/office/drawing/2014/chart" uri="{C3380CC4-5D6E-409C-BE32-E72D297353CC}">
                <c16:uniqueId val="{00000017-9763-4B4A-8EA0-A878CB1331FE}"/>
              </c:ext>
            </c:extLst>
          </c:dPt>
          <c:dPt>
            <c:idx val="1"/>
            <c:bubble3D val="0"/>
            <c:spPr>
              <a:solidFill>
                <a:srgbClr val="C3DCEB"/>
              </a:solidFill>
              <a:ln w="9525">
                <a:solidFill>
                  <a:schemeClr val="lt1"/>
                </a:solidFill>
              </a:ln>
              <a:effectLst/>
            </c:spPr>
            <c:extLst>
              <c:ext xmlns:c16="http://schemas.microsoft.com/office/drawing/2014/chart" uri="{C3380CC4-5D6E-409C-BE32-E72D297353CC}">
                <c16:uniqueId val="{00000019-9763-4B4A-8EA0-A878CB1331FE}"/>
              </c:ext>
            </c:extLst>
          </c:dPt>
          <c:dPt>
            <c:idx val="2"/>
            <c:bubble3D val="0"/>
            <c:spPr>
              <a:solidFill>
                <a:srgbClr val="C3DCEB"/>
              </a:solidFill>
              <a:ln w="9525">
                <a:solidFill>
                  <a:schemeClr val="lt1"/>
                </a:solidFill>
              </a:ln>
              <a:effectLst/>
            </c:spPr>
            <c:extLst>
              <c:ext xmlns:c16="http://schemas.microsoft.com/office/drawing/2014/chart" uri="{C3380CC4-5D6E-409C-BE32-E72D297353CC}">
                <c16:uniqueId val="{0000001B-9763-4B4A-8EA0-A878CB1331FE}"/>
              </c:ext>
            </c:extLst>
          </c:dPt>
          <c:dPt>
            <c:idx val="3"/>
            <c:bubble3D val="0"/>
            <c:spPr>
              <a:solidFill>
                <a:srgbClr val="C3DCEB"/>
              </a:solidFill>
              <a:ln w="9525">
                <a:solidFill>
                  <a:schemeClr val="lt1"/>
                </a:solidFill>
              </a:ln>
              <a:effectLst/>
            </c:spPr>
            <c:extLst>
              <c:ext xmlns:c16="http://schemas.microsoft.com/office/drawing/2014/chart" uri="{C3380CC4-5D6E-409C-BE32-E72D297353CC}">
                <c16:uniqueId val="{0000001D-9763-4B4A-8EA0-A878CB1331FE}"/>
              </c:ext>
            </c:extLst>
          </c:dPt>
          <c:dPt>
            <c:idx val="4"/>
            <c:bubble3D val="0"/>
            <c:spPr>
              <a:solidFill>
                <a:srgbClr val="C3DCEB"/>
              </a:solidFill>
              <a:ln w="9525">
                <a:solidFill>
                  <a:schemeClr val="lt1"/>
                </a:solidFill>
              </a:ln>
              <a:effectLst/>
            </c:spPr>
            <c:extLst>
              <c:ext xmlns:c16="http://schemas.microsoft.com/office/drawing/2014/chart" uri="{C3380CC4-5D6E-409C-BE32-E72D297353CC}">
                <c16:uniqueId val="{0000001F-9763-4B4A-8EA0-A878CB1331FE}"/>
              </c:ext>
            </c:extLst>
          </c:dPt>
          <c:val>
            <c:numRef>
              <c:f>Proccessing!$T$3:$X$3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9763-4B4A-8EA0-A878CB1331FE}"/>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Proccessing!$Q$1</c:f>
              <c:strCache>
                <c:ptCount val="1"/>
                <c:pt idx="0">
                  <c:v>KPI</c:v>
                </c:pt>
              </c:strCache>
            </c:strRef>
          </c:tx>
          <c:spPr>
            <a:gradFill>
              <a:gsLst>
                <a:gs pos="0">
                  <a:srgbClr val="C6B7FF">
                    <a:alpha val="30000"/>
                  </a:srgbClr>
                </a:gs>
                <a:gs pos="100000">
                  <a:srgbClr val="9954CC">
                    <a:alpha val="50000"/>
                  </a:srgbClr>
                </a:gs>
              </a:gsLst>
              <a:lin ang="5400000" scaled="1"/>
            </a:gradFill>
            <a:ln>
              <a:solidFill>
                <a:srgbClr val="9954CC"/>
              </a:solidFill>
            </a:ln>
            <a:effectLst/>
          </c:spPr>
          <c:cat>
            <c:strRef>
              <c:f>Proccessing!$P$2:$P$6</c:f>
              <c:strCache>
                <c:ptCount val="5"/>
                <c:pt idx="0">
                  <c:v>Point 1</c:v>
                </c:pt>
                <c:pt idx="1">
                  <c:v>Point 2</c:v>
                </c:pt>
                <c:pt idx="2">
                  <c:v>Point 3</c:v>
                </c:pt>
                <c:pt idx="3">
                  <c:v>Point 4</c:v>
                </c:pt>
                <c:pt idx="4">
                  <c:v>Point 5</c:v>
                </c:pt>
              </c:strCache>
            </c:strRef>
          </c:cat>
          <c:val>
            <c:numRef>
              <c:f>Proccessing!$Q$2:$Q$6</c:f>
              <c:numCache>
                <c:formatCode>General</c:formatCode>
                <c:ptCount val="5"/>
                <c:pt idx="0">
                  <c:v>422434</c:v>
                </c:pt>
                <c:pt idx="1">
                  <c:v>378765</c:v>
                </c:pt>
                <c:pt idx="2">
                  <c:v>282302</c:v>
                </c:pt>
                <c:pt idx="3">
                  <c:v>328249</c:v>
                </c:pt>
                <c:pt idx="4">
                  <c:v>422676</c:v>
                </c:pt>
              </c:numCache>
            </c:numRef>
          </c:val>
          <c:extLst>
            <c:ext xmlns:c16="http://schemas.microsoft.com/office/drawing/2014/chart" uri="{C3380CC4-5D6E-409C-BE32-E72D297353CC}">
              <c16:uniqueId val="{00000000-E752-491B-AD30-8F420BCBF0A7}"/>
            </c:ext>
          </c:extLst>
        </c:ser>
        <c:ser>
          <c:idx val="1"/>
          <c:order val="1"/>
          <c:tx>
            <c:strRef>
              <c:f>Proccessing!$R$1</c:f>
              <c:strCache>
                <c:ptCount val="1"/>
                <c:pt idx="0">
                  <c:v>Cost</c:v>
                </c:pt>
              </c:strCache>
            </c:strRef>
          </c:tx>
          <c:spPr>
            <a:gradFill>
              <a:gsLst>
                <a:gs pos="0">
                  <a:srgbClr val="98F29C">
                    <a:alpha val="30000"/>
                  </a:srgbClr>
                </a:gs>
                <a:gs pos="100000">
                  <a:srgbClr val="5BF636">
                    <a:alpha val="50000"/>
                  </a:srgbClr>
                </a:gs>
              </a:gsLst>
              <a:lin ang="5400000" scaled="1"/>
            </a:gradFill>
            <a:ln>
              <a:solidFill>
                <a:srgbClr val="5BF636"/>
              </a:solidFill>
            </a:ln>
            <a:effectLst/>
          </c:spPr>
          <c:cat>
            <c:strRef>
              <c:f>Proccessing!$P$2:$P$6</c:f>
              <c:strCache>
                <c:ptCount val="5"/>
                <c:pt idx="0">
                  <c:v>Point 1</c:v>
                </c:pt>
                <c:pt idx="1">
                  <c:v>Point 2</c:v>
                </c:pt>
                <c:pt idx="2">
                  <c:v>Point 3</c:v>
                </c:pt>
                <c:pt idx="3">
                  <c:v>Point 4</c:v>
                </c:pt>
                <c:pt idx="4">
                  <c:v>Point 5</c:v>
                </c:pt>
              </c:strCache>
            </c:strRef>
          </c:cat>
          <c:val>
            <c:numRef>
              <c:f>Proccessing!$R$2:$R$6</c:f>
              <c:numCache>
                <c:formatCode>General</c:formatCode>
                <c:ptCount val="5"/>
                <c:pt idx="0">
                  <c:v>380379</c:v>
                </c:pt>
                <c:pt idx="1">
                  <c:v>338012</c:v>
                </c:pt>
                <c:pt idx="2">
                  <c:v>373511</c:v>
                </c:pt>
                <c:pt idx="3">
                  <c:v>337292</c:v>
                </c:pt>
                <c:pt idx="4">
                  <c:v>366652</c:v>
                </c:pt>
              </c:numCache>
            </c:numRef>
          </c:val>
          <c:extLst>
            <c:ext xmlns:c16="http://schemas.microsoft.com/office/drawing/2014/chart" uri="{C3380CC4-5D6E-409C-BE32-E72D297353CC}">
              <c16:uniqueId val="{00000001-E752-491B-AD30-8F420BCBF0A7}"/>
            </c:ext>
          </c:extLst>
        </c:ser>
        <c:dLbls>
          <c:showLegendKey val="0"/>
          <c:showVal val="0"/>
          <c:showCatName val="0"/>
          <c:showSerName val="0"/>
          <c:showPercent val="0"/>
          <c:showBubbleSize val="0"/>
        </c:dLbls>
        <c:axId val="417296488"/>
        <c:axId val="417302392"/>
      </c:radarChart>
      <c:catAx>
        <c:axId val="41729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302392"/>
        <c:crosses val="autoZero"/>
        <c:auto val="1"/>
        <c:lblAlgn val="ctr"/>
        <c:lblOffset val="100"/>
        <c:noMultiLvlLbl val="0"/>
      </c:catAx>
      <c:valAx>
        <c:axId val="417302392"/>
        <c:scaling>
          <c:orientation val="minMax"/>
        </c:scaling>
        <c:delete val="1"/>
        <c:axPos val="l"/>
        <c:numFmt formatCode="General" sourceLinked="1"/>
        <c:majorTickMark val="none"/>
        <c:minorTickMark val="none"/>
        <c:tickLblPos val="nextTo"/>
        <c:crossAx val="41729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Active</c:v>
          </c:tx>
          <c:spPr>
            <a:gradFill flip="none" rotWithShape="1">
              <a:gsLst>
                <a:gs pos="0">
                  <a:srgbClr val="00FFFF">
                    <a:alpha val="18000"/>
                  </a:srgbClr>
                </a:gs>
                <a:gs pos="100000">
                  <a:srgbClr val="00FFFF">
                    <a:alpha val="0"/>
                  </a:srgbClr>
                </a:gs>
              </a:gsLst>
              <a:lin ang="5400000" scaled="0"/>
              <a:tileRect/>
            </a:gradFill>
            <a:ln w="25400">
              <a:noFill/>
            </a:ln>
            <a:effectLst/>
          </c:spPr>
          <c:val>
            <c:numRef>
              <c:f>'Proccessing (2)'!$B$2:$B$13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extLst>
            <c:ext xmlns:c16="http://schemas.microsoft.com/office/drawing/2014/chart" uri="{C3380CC4-5D6E-409C-BE32-E72D297353CC}">
              <c16:uniqueId val="{00000000-1888-489E-8A04-6F2B6E48FA0B}"/>
            </c:ext>
          </c:extLst>
        </c:ser>
        <c:ser>
          <c:idx val="5"/>
          <c:order val="5"/>
          <c:tx>
            <c:v>Fill Average</c:v>
          </c:tx>
          <c:spPr>
            <a:gradFill>
              <a:gsLst>
                <a:gs pos="0">
                  <a:srgbClr val="6A47FF">
                    <a:alpha val="18000"/>
                  </a:srgbClr>
                </a:gs>
                <a:gs pos="100000">
                  <a:srgbClr val="6A47FF">
                    <a:alpha val="0"/>
                  </a:srgbClr>
                </a:gs>
              </a:gsLst>
              <a:lin ang="5400000" scaled="1"/>
            </a:gradFill>
            <a:ln w="25400">
              <a:noFill/>
            </a:ln>
            <a:effectLst/>
          </c:spPr>
          <c:val>
            <c:numRef>
              <c:f>'Proccessing (2)'!$C$2:$C$13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extLst>
            <c:ext xmlns:c16="http://schemas.microsoft.com/office/drawing/2014/chart" uri="{C3380CC4-5D6E-409C-BE32-E72D297353CC}">
              <c16:uniqueId val="{00000001-1888-489E-8A04-6F2B6E48FA0B}"/>
            </c:ext>
          </c:extLst>
        </c:ser>
        <c:dLbls>
          <c:showLegendKey val="0"/>
          <c:showVal val="0"/>
          <c:showCatName val="0"/>
          <c:showSerName val="0"/>
          <c:showPercent val="0"/>
          <c:showBubbleSize val="0"/>
        </c:dLbls>
        <c:axId val="351840664"/>
        <c:axId val="351833448"/>
      </c:areaChart>
      <c:lineChart>
        <c:grouping val="standard"/>
        <c:varyColors val="0"/>
        <c:ser>
          <c:idx val="0"/>
          <c:order val="0"/>
          <c:tx>
            <c:strRef>
              <c:f>'Proccessing (2)'!$B$1</c:f>
              <c:strCache>
                <c:ptCount val="1"/>
                <c:pt idx="0">
                  <c:v>Active Client Count</c:v>
                </c:pt>
              </c:strCache>
            </c:strRef>
          </c:tx>
          <c:spPr>
            <a:ln w="38100" cap="rnd">
              <a:solidFill>
                <a:srgbClr val="00FFFF"/>
              </a:solidFill>
              <a:round/>
            </a:ln>
            <a:effectLst>
              <a:outerShdw blurRad="50800" dist="38100" dir="5400000" algn="t" rotWithShape="0">
                <a:prstClr val="black">
                  <a:alpha val="40000"/>
                </a:prstClr>
              </a:outerShdw>
            </a:effectLst>
          </c:spPr>
          <c:marker>
            <c:symbol val="none"/>
          </c:marker>
          <c:cat>
            <c:strRef>
              <c:f>'Proccessing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smooth val="1"/>
          <c:extLst>
            <c:ext xmlns:c16="http://schemas.microsoft.com/office/drawing/2014/chart" uri="{C3380CC4-5D6E-409C-BE32-E72D297353CC}">
              <c16:uniqueId val="{00000002-1888-489E-8A04-6F2B6E48FA0B}"/>
            </c:ext>
          </c:extLst>
        </c:ser>
        <c:ser>
          <c:idx val="1"/>
          <c:order val="1"/>
          <c:tx>
            <c:strRef>
              <c:f>'Proccessing (2)'!$C$1</c:f>
              <c:strCache>
                <c:ptCount val="1"/>
                <c:pt idx="0">
                  <c:v>Average Client Count</c:v>
                </c:pt>
              </c:strCache>
            </c:strRef>
          </c:tx>
          <c:spPr>
            <a:ln w="38100" cap="rnd">
              <a:solidFill>
                <a:srgbClr val="6A47FF"/>
              </a:solidFill>
              <a:round/>
            </a:ln>
            <a:effectLst>
              <a:outerShdw blurRad="50800" dist="38100" dir="5400000" algn="t" rotWithShape="0">
                <a:prstClr val="black">
                  <a:alpha val="40000"/>
                </a:prstClr>
              </a:outerShdw>
            </a:effectLst>
          </c:spPr>
          <c:marker>
            <c:symbol val="none"/>
          </c:marker>
          <c:cat>
            <c:strRef>
              <c:f>'Proccessing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smooth val="1"/>
          <c:extLst>
            <c:ext xmlns:c16="http://schemas.microsoft.com/office/drawing/2014/chart" uri="{C3380CC4-5D6E-409C-BE32-E72D297353CC}">
              <c16:uniqueId val="{00000003-1888-489E-8A04-6F2B6E48FA0B}"/>
            </c:ext>
          </c:extLst>
        </c:ser>
        <c:dLbls>
          <c:showLegendKey val="0"/>
          <c:showVal val="0"/>
          <c:showCatName val="0"/>
          <c:showSerName val="0"/>
          <c:showPercent val="0"/>
          <c:showBubbleSize val="0"/>
        </c:dLbls>
        <c:marker val="1"/>
        <c:smooth val="0"/>
        <c:axId val="351840664"/>
        <c:axId val="351833448"/>
      </c:lineChart>
      <c:scatterChart>
        <c:scatterStyle val="lineMarker"/>
        <c:varyColors val="0"/>
        <c:ser>
          <c:idx val="2"/>
          <c:order val="2"/>
          <c:tx>
            <c:strRef>
              <c:f>'Proccessing (2)'!$D$1</c:f>
              <c:strCache>
                <c:ptCount val="1"/>
                <c:pt idx="0">
                  <c:v>Select Active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 (2)'!$D$2:$D$13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minus>
            <c:spPr>
              <a:noFill/>
              <a:ln w="9525" cap="flat" cmpd="sng" algn="ctr">
                <a:solidFill>
                  <a:schemeClr val="tx1">
                    <a:lumMod val="65000"/>
                    <a:lumOff val="35000"/>
                  </a:schemeClr>
                </a:solidFill>
                <a:round/>
              </a:ln>
              <a:effectLst/>
            </c:spPr>
          </c:errBars>
          <c:xVal>
            <c:strRef>
              <c:f>'Proccessing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 (2)'!$D$2:$D$13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yVal>
          <c:smooth val="0"/>
          <c:extLst>
            <c:ext xmlns:c16="http://schemas.microsoft.com/office/drawing/2014/chart" uri="{C3380CC4-5D6E-409C-BE32-E72D297353CC}">
              <c16:uniqueId val="{00000004-1888-489E-8A04-6F2B6E48FA0B}"/>
            </c:ext>
          </c:extLst>
        </c:ser>
        <c:ser>
          <c:idx val="3"/>
          <c:order val="3"/>
          <c:tx>
            <c:strRef>
              <c:f>'Proccessing (2)'!$E$1</c:f>
              <c:strCache>
                <c:ptCount val="1"/>
                <c:pt idx="0">
                  <c:v>Select Average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 (2)'!$E$2:$E$13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minus>
            <c:spPr>
              <a:noFill/>
              <a:ln w="9525" cap="flat" cmpd="sng" algn="ctr">
                <a:solidFill>
                  <a:schemeClr val="tx1">
                    <a:lumMod val="65000"/>
                    <a:lumOff val="35000"/>
                  </a:schemeClr>
                </a:solidFill>
                <a:round/>
              </a:ln>
              <a:effectLst/>
            </c:spPr>
          </c:errBars>
          <c:xVal>
            <c:strRef>
              <c:f>'Proccessing (2)'!$A$2:$A$13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 (2)'!$E$2:$E$13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yVal>
          <c:smooth val="0"/>
          <c:extLst>
            <c:ext xmlns:c16="http://schemas.microsoft.com/office/drawing/2014/chart" uri="{C3380CC4-5D6E-409C-BE32-E72D297353CC}">
              <c16:uniqueId val="{00000005-1888-489E-8A04-6F2B6E48FA0B}"/>
            </c:ext>
          </c:extLst>
        </c:ser>
        <c:dLbls>
          <c:showLegendKey val="0"/>
          <c:showVal val="0"/>
          <c:showCatName val="0"/>
          <c:showSerName val="0"/>
          <c:showPercent val="0"/>
          <c:showBubbleSize val="0"/>
        </c:dLbls>
        <c:axId val="351840664"/>
        <c:axId val="351833448"/>
      </c:scatterChart>
      <c:catAx>
        <c:axId val="351840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33448"/>
        <c:crosses val="autoZero"/>
        <c:auto val="1"/>
        <c:lblAlgn val="ctr"/>
        <c:lblOffset val="100"/>
        <c:noMultiLvlLbl val="0"/>
      </c:catAx>
      <c:valAx>
        <c:axId val="351833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351840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'Proccessing (2)'!$M$1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'Proccessing (2)'!$I$2:$I$13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0-FB08-4CA1-8BC1-A81294CDFA81}"/>
            </c:ext>
          </c:extLst>
        </c:ser>
        <c:ser>
          <c:idx val="0"/>
          <c:order val="1"/>
          <c:tx>
            <c:strRef>
              <c:f>'Proccessing (2)'!$J$1</c:f>
              <c:strCache>
                <c:ptCount val="1"/>
                <c:pt idx="0">
                  <c:v>Total</c:v>
                </c:pt>
              </c:strCache>
            </c:strRef>
          </c:tx>
          <c:spPr>
            <a:solidFill>
              <a:srgbClr val="5A637D"/>
            </a:solidFill>
            <a:ln>
              <a:noFill/>
            </a:ln>
            <a:effectLst/>
          </c:spPr>
          <c:invertIfNegative val="0"/>
          <c:cat>
            <c:strRef>
              <c:f>'Proccessing (2)'!$I$2:$I$13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(2)'!$J$2:$J$13</c:f>
              <c:numCache>
                <c:formatCode>General</c:formatCode>
                <c:ptCount val="12"/>
                <c:pt idx="0">
                  <c:v>1591</c:v>
                </c:pt>
                <c:pt idx="1">
                  <c:v>1413</c:v>
                </c:pt>
                <c:pt idx="2">
                  <c:v>1746</c:v>
                </c:pt>
                <c:pt idx="3">
                  <c:v>1446</c:v>
                </c:pt>
                <c:pt idx="4">
                  <c:v>1494</c:v>
                </c:pt>
                <c:pt idx="5">
                  <c:v>1362</c:v>
                </c:pt>
                <c:pt idx="6">
                  <c:v>1266</c:v>
                </c:pt>
                <c:pt idx="7">
                  <c:v>1467</c:v>
                </c:pt>
                <c:pt idx="8">
                  <c:v>1316</c:v>
                </c:pt>
                <c:pt idx="9">
                  <c:v>1785</c:v>
                </c:pt>
                <c:pt idx="10">
                  <c:v>1534</c:v>
                </c:pt>
                <c:pt idx="11">
                  <c:v>1858</c:v>
                </c:pt>
              </c:numCache>
            </c:numRef>
          </c:val>
          <c:extLst>
            <c:ext xmlns:c16="http://schemas.microsoft.com/office/drawing/2014/chart" uri="{C3380CC4-5D6E-409C-BE32-E72D297353CC}">
              <c16:uniqueId val="{00000001-FB08-4CA1-8BC1-A81294CDFA81}"/>
            </c:ext>
          </c:extLst>
        </c:ser>
        <c:ser>
          <c:idx val="5"/>
          <c:order val="2"/>
          <c:tx>
            <c:strRef>
              <c:f>'Proccessing (2)'!$M$1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'Proccessing (2)'!$M$2:$M$13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2-FB08-4CA1-8BC1-A81294CDFA81}"/>
            </c:ext>
          </c:extLst>
        </c:ser>
        <c:dLbls>
          <c:showLegendKey val="0"/>
          <c:showVal val="0"/>
          <c:showCatName val="0"/>
          <c:showSerName val="0"/>
          <c:showPercent val="0"/>
          <c:showBubbleSize val="0"/>
        </c:dLbls>
        <c:gapWidth val="80"/>
        <c:overlap val="100"/>
        <c:axId val="412559248"/>
        <c:axId val="412556952"/>
      </c:barChart>
      <c:barChart>
        <c:barDir val="col"/>
        <c:grouping val="stacked"/>
        <c:varyColors val="0"/>
        <c:ser>
          <c:idx val="4"/>
          <c:order val="3"/>
          <c:tx>
            <c:strRef>
              <c:f>'Proccessing (2)'!$N$1</c:f>
              <c:strCache>
                <c:ptCount val="1"/>
                <c:pt idx="0">
                  <c:v>Indent Select </c:v>
                </c:pt>
              </c:strCache>
            </c:strRef>
          </c:tx>
          <c:spPr>
            <a:blipFill>
              <a:blip xmlns:r="http://schemas.openxmlformats.org/officeDocument/2006/relationships" r:embed="rId5"/>
              <a:stretch>
                <a:fillRect/>
              </a:stretch>
            </a:blipFill>
            <a:ln>
              <a:noFill/>
            </a:ln>
            <a:effectLst/>
          </c:spPr>
          <c:invertIfNegative val="0"/>
          <c:cat>
            <c:strRef>
              <c:f>'Proccessing (2)'!$I$2:$I$13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3-FB08-4CA1-8BC1-A81294CDFA81}"/>
            </c:ext>
          </c:extLst>
        </c:ser>
        <c:ser>
          <c:idx val="1"/>
          <c:order val="4"/>
          <c:tx>
            <c:strRef>
              <c:f>'Proccessing (2)'!$K$1</c:f>
              <c:strCache>
                <c:ptCount val="1"/>
                <c:pt idx="0">
                  <c:v>New Select</c:v>
                </c:pt>
              </c:strCache>
            </c:strRef>
          </c:tx>
          <c:spPr>
            <a:solidFill>
              <a:srgbClr val="6A47FF"/>
            </a:solidFill>
            <a:ln>
              <a:noFill/>
            </a:ln>
            <a:effectLst/>
          </c:spPr>
          <c:invertIfNegative val="0"/>
          <c:cat>
            <c:strRef>
              <c:f>'Proccessing (2)'!$I$2:$I$13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(2)'!$K$2:$K$13</c:f>
              <c:numCache>
                <c:formatCode>General</c:formatCode>
                <c:ptCount val="12"/>
                <c:pt idx="0">
                  <c:v>654</c:v>
                </c:pt>
                <c:pt idx="1">
                  <c:v>756</c:v>
                </c:pt>
                <c:pt idx="2">
                  <c:v>885</c:v>
                </c:pt>
                <c:pt idx="3">
                  <c:v>835</c:v>
                </c:pt>
                <c:pt idx="4">
                  <c:v>853</c:v>
                </c:pt>
                <c:pt idx="5">
                  <c:v>615</c:v>
                </c:pt>
                <c:pt idx="6">
                  <c:v>671</c:v>
                </c:pt>
                <c:pt idx="7">
                  <c:v>835</c:v>
                </c:pt>
                <c:pt idx="8">
                  <c:v>562</c:v>
                </c:pt>
                <c:pt idx="9">
                  <c:v>1040</c:v>
                </c:pt>
                <c:pt idx="10">
                  <c:v>877</c:v>
                </c:pt>
                <c:pt idx="11">
                  <c:v>905</c:v>
                </c:pt>
              </c:numCache>
            </c:numRef>
          </c:val>
          <c:extLst>
            <c:ext xmlns:c16="http://schemas.microsoft.com/office/drawing/2014/chart" uri="{C3380CC4-5D6E-409C-BE32-E72D297353CC}">
              <c16:uniqueId val="{00000004-FB08-4CA1-8BC1-A81294CDFA81}"/>
            </c:ext>
          </c:extLst>
        </c:ser>
        <c:ser>
          <c:idx val="2"/>
          <c:order val="5"/>
          <c:tx>
            <c:strRef>
              <c:f>'Proccessing (2)'!$L$1</c:f>
              <c:strCache>
                <c:ptCount val="1"/>
                <c:pt idx="0">
                  <c:v>Regular Select</c:v>
                </c:pt>
              </c:strCache>
            </c:strRef>
          </c:tx>
          <c:spPr>
            <a:solidFill>
              <a:srgbClr val="00FFFF"/>
            </a:solidFill>
            <a:ln>
              <a:noFill/>
            </a:ln>
            <a:effectLst/>
          </c:spPr>
          <c:invertIfNegative val="0"/>
          <c:cat>
            <c:strRef>
              <c:f>'Proccessing (2)'!$I$2:$I$13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 (2)'!$L$2:$L$13</c:f>
              <c:numCache>
                <c:formatCode>General</c:formatCode>
                <c:ptCount val="12"/>
                <c:pt idx="0">
                  <c:v>937</c:v>
                </c:pt>
                <c:pt idx="1">
                  <c:v>657</c:v>
                </c:pt>
                <c:pt idx="2">
                  <c:v>861</c:v>
                </c:pt>
                <c:pt idx="3">
                  <c:v>611</c:v>
                </c:pt>
                <c:pt idx="4">
                  <c:v>641</c:v>
                </c:pt>
                <c:pt idx="5">
                  <c:v>747</c:v>
                </c:pt>
                <c:pt idx="6">
                  <c:v>595</c:v>
                </c:pt>
                <c:pt idx="7">
                  <c:v>632</c:v>
                </c:pt>
                <c:pt idx="8">
                  <c:v>754</c:v>
                </c:pt>
                <c:pt idx="9">
                  <c:v>745</c:v>
                </c:pt>
                <c:pt idx="10">
                  <c:v>657</c:v>
                </c:pt>
                <c:pt idx="11">
                  <c:v>953</c:v>
                </c:pt>
              </c:numCache>
            </c:numRef>
          </c:val>
          <c:extLst>
            <c:ext xmlns:c16="http://schemas.microsoft.com/office/drawing/2014/chart" uri="{C3380CC4-5D6E-409C-BE32-E72D297353CC}">
              <c16:uniqueId val="{00000005-FB08-4CA1-8BC1-A81294CDFA81}"/>
            </c:ext>
          </c:extLst>
        </c:ser>
        <c:ser>
          <c:idx val="6"/>
          <c:order val="6"/>
          <c:tx>
            <c:strRef>
              <c:f>'Proccessing (2)'!$N$1</c:f>
              <c:strCache>
                <c:ptCount val="1"/>
                <c:pt idx="0">
                  <c:v>Indent Select </c:v>
                </c:pt>
              </c:strCache>
            </c:strRef>
          </c:tx>
          <c:spPr>
            <a:blipFill>
              <a:blip xmlns:r="http://schemas.openxmlformats.org/officeDocument/2006/relationships" r:embed="rId6"/>
              <a:stretch>
                <a:fillRect/>
              </a:stretch>
            </a:blipFill>
            <a:ln>
              <a:noFill/>
            </a:ln>
            <a:effectLst/>
          </c:spPr>
          <c:invertIfNegative val="0"/>
          <c:val>
            <c:numRef>
              <c:f>'Proccessing (2)'!$N$2:$N$13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6-FB08-4CA1-8BC1-A81294CDFA81}"/>
            </c:ext>
          </c:extLst>
        </c:ser>
        <c:dLbls>
          <c:showLegendKey val="0"/>
          <c:showVal val="0"/>
          <c:showCatName val="0"/>
          <c:showSerName val="0"/>
          <c:showPercent val="0"/>
          <c:showBubbleSize val="0"/>
        </c:dLbls>
        <c:gapWidth val="80"/>
        <c:overlap val="100"/>
        <c:axId val="412565808"/>
        <c:axId val="412565152"/>
      </c:barChart>
      <c:catAx>
        <c:axId val="4125592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412556952"/>
        <c:crosses val="autoZero"/>
        <c:auto val="1"/>
        <c:lblAlgn val="ctr"/>
        <c:lblOffset val="100"/>
        <c:noMultiLvlLbl val="0"/>
      </c:catAx>
      <c:valAx>
        <c:axId val="412556952"/>
        <c:scaling>
          <c:orientation val="minMax"/>
        </c:scaling>
        <c:delete val="1"/>
        <c:axPos val="l"/>
        <c:numFmt formatCode="General" sourceLinked="1"/>
        <c:majorTickMark val="out"/>
        <c:minorTickMark val="none"/>
        <c:tickLblPos val="nextTo"/>
        <c:crossAx val="412559248"/>
        <c:crosses val="autoZero"/>
        <c:crossBetween val="between"/>
      </c:valAx>
      <c:valAx>
        <c:axId val="412565152"/>
        <c:scaling>
          <c:orientation val="minMax"/>
        </c:scaling>
        <c:delete val="1"/>
        <c:axPos val="r"/>
        <c:numFmt formatCode="General" sourceLinked="1"/>
        <c:majorTickMark val="out"/>
        <c:minorTickMark val="none"/>
        <c:tickLblPos val="nextTo"/>
        <c:crossAx val="412565808"/>
        <c:crosses val="max"/>
        <c:crossBetween val="between"/>
      </c:valAx>
      <c:catAx>
        <c:axId val="412565808"/>
        <c:scaling>
          <c:orientation val="minMax"/>
        </c:scaling>
        <c:delete val="1"/>
        <c:axPos val="t"/>
        <c:numFmt formatCode="General" sourceLinked="1"/>
        <c:majorTickMark val="out"/>
        <c:minorTickMark val="none"/>
        <c:tickLblPos val="nextTo"/>
        <c:crossAx val="412565152"/>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lgn="just">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 (2)'!$P$11</c:f>
              <c:strCache>
                <c:ptCount val="1"/>
                <c:pt idx="0">
                  <c:v>Customer</c:v>
                </c:pt>
              </c:strCache>
            </c:strRef>
          </c:tx>
          <c:spPr>
            <a:ln>
              <a:noFill/>
            </a:ln>
          </c:spPr>
          <c:dPt>
            <c:idx val="0"/>
            <c:bubble3D val="0"/>
            <c:spPr>
              <a:solidFill>
                <a:srgbClr val="51F52B"/>
              </a:solidFill>
              <a:ln w="19050">
                <a:noFill/>
              </a:ln>
              <a:effectLst/>
            </c:spPr>
            <c:extLst>
              <c:ext xmlns:c16="http://schemas.microsoft.com/office/drawing/2014/chart" uri="{C3380CC4-5D6E-409C-BE32-E72D297353CC}">
                <c16:uniqueId val="{00000001-1606-49A2-94D6-02A6C7BE4AA1}"/>
              </c:ext>
            </c:extLst>
          </c:dPt>
          <c:dPt>
            <c:idx val="1"/>
            <c:bubble3D val="0"/>
            <c:spPr>
              <a:solidFill>
                <a:srgbClr val="5A637D"/>
              </a:solidFill>
              <a:ln w="19050">
                <a:noFill/>
              </a:ln>
              <a:effectLst/>
            </c:spPr>
            <c:extLst>
              <c:ext xmlns:c16="http://schemas.microsoft.com/office/drawing/2014/chart" uri="{C3380CC4-5D6E-409C-BE32-E72D297353CC}">
                <c16:uniqueId val="{00000003-1606-49A2-94D6-02A6C7BE4AA1}"/>
              </c:ext>
            </c:extLst>
          </c:dPt>
          <c:val>
            <c:numRef>
              <c:f>'Proccessing (2)'!$Q$11:$R$11</c:f>
              <c:numCache>
                <c:formatCode>0%</c:formatCode>
                <c:ptCount val="2"/>
                <c:pt idx="0">
                  <c:v>0.58333333333333326</c:v>
                </c:pt>
                <c:pt idx="1">
                  <c:v>0.41666666666666674</c:v>
                </c:pt>
              </c:numCache>
            </c:numRef>
          </c:val>
          <c:extLst>
            <c:ext xmlns:c16="http://schemas.microsoft.com/office/drawing/2014/chart" uri="{C3380CC4-5D6E-409C-BE32-E72D297353CC}">
              <c16:uniqueId val="{00000004-1606-49A2-94D6-02A6C7BE4AA1}"/>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51F52B"/>
              </a:solidFill>
              <a:ln w="9525">
                <a:solidFill>
                  <a:schemeClr val="bg1"/>
                </a:solidFill>
              </a:ln>
              <a:effectLst>
                <a:outerShdw blurRad="50800" dist="38100" dir="5400000" algn="t" rotWithShape="0">
                  <a:prstClr val="black">
                    <a:alpha val="40000"/>
                  </a:prstClr>
                </a:outerShdw>
              </a:effectLst>
            </c:spPr>
          </c:marker>
          <c:xVal>
            <c:numRef>
              <c:f>'Proccessing (2)'!$S$11</c:f>
              <c:numCache>
                <c:formatCode>General</c:formatCode>
                <c:ptCount val="1"/>
                <c:pt idx="0">
                  <c:v>-0.82272413359521646</c:v>
                </c:pt>
              </c:numCache>
            </c:numRef>
          </c:xVal>
          <c:yVal>
            <c:numRef>
              <c:f>'Proccessing (2)'!$T$11</c:f>
              <c:numCache>
                <c:formatCode>General</c:formatCode>
                <c:ptCount val="1"/>
                <c:pt idx="0">
                  <c:v>-0.47500000000000053</c:v>
                </c:pt>
              </c:numCache>
            </c:numRef>
          </c:yVal>
          <c:smooth val="0"/>
          <c:extLst>
            <c:ext xmlns:c16="http://schemas.microsoft.com/office/drawing/2014/chart" uri="{C3380CC4-5D6E-409C-BE32-E72D297353CC}">
              <c16:uniqueId val="{00000005-1606-49A2-94D6-02A6C7BE4AA1}"/>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 (2)'!$P$12</c:f>
              <c:strCache>
                <c:ptCount val="1"/>
                <c:pt idx="0">
                  <c:v>Relationship</c:v>
                </c:pt>
              </c:strCache>
            </c:strRef>
          </c:tx>
          <c:spPr>
            <a:ln>
              <a:noFill/>
            </a:ln>
          </c:spPr>
          <c:dPt>
            <c:idx val="0"/>
            <c:bubble3D val="0"/>
            <c:spPr>
              <a:solidFill>
                <a:srgbClr val="8439BD"/>
              </a:solidFill>
              <a:ln w="19050">
                <a:noFill/>
              </a:ln>
              <a:effectLst/>
            </c:spPr>
            <c:extLst>
              <c:ext xmlns:c16="http://schemas.microsoft.com/office/drawing/2014/chart" uri="{C3380CC4-5D6E-409C-BE32-E72D297353CC}">
                <c16:uniqueId val="{00000001-136B-4CDA-BC11-C9DC90E6C23F}"/>
              </c:ext>
            </c:extLst>
          </c:dPt>
          <c:dPt>
            <c:idx val="1"/>
            <c:bubble3D val="0"/>
            <c:spPr>
              <a:solidFill>
                <a:srgbClr val="5A637D"/>
              </a:solidFill>
              <a:ln w="19050">
                <a:noFill/>
              </a:ln>
              <a:effectLst/>
            </c:spPr>
            <c:extLst>
              <c:ext xmlns:c16="http://schemas.microsoft.com/office/drawing/2014/chart" uri="{C3380CC4-5D6E-409C-BE32-E72D297353CC}">
                <c16:uniqueId val="{00000003-136B-4CDA-BC11-C9DC90E6C23F}"/>
              </c:ext>
            </c:extLst>
          </c:dPt>
          <c:val>
            <c:numRef>
              <c:f>'Proccessing (2)'!$Q$12:$R$12</c:f>
              <c:numCache>
                <c:formatCode>0%</c:formatCode>
                <c:ptCount val="2"/>
                <c:pt idx="0">
                  <c:v>0.59750000000000003</c:v>
                </c:pt>
                <c:pt idx="1">
                  <c:v>0.40249999999999997</c:v>
                </c:pt>
              </c:numCache>
            </c:numRef>
          </c:val>
          <c:extLst>
            <c:ext xmlns:c16="http://schemas.microsoft.com/office/drawing/2014/chart" uri="{C3380CC4-5D6E-409C-BE32-E72D297353CC}">
              <c16:uniqueId val="{00000004-136B-4CDA-BC11-C9DC90E6C23F}"/>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8439BD"/>
              </a:solidFill>
              <a:ln w="9525">
                <a:solidFill>
                  <a:schemeClr val="bg1"/>
                </a:solidFill>
              </a:ln>
              <a:effectLst>
                <a:outerShdw blurRad="50800" dist="38100" dir="5400000" algn="t" rotWithShape="0">
                  <a:prstClr val="black">
                    <a:alpha val="40000"/>
                  </a:prstClr>
                </a:outerShdw>
              </a:effectLst>
            </c:spPr>
          </c:marker>
          <c:xVal>
            <c:numRef>
              <c:f>'Proccessing (2)'!$S$12</c:f>
              <c:numCache>
                <c:formatCode>General</c:formatCode>
                <c:ptCount val="1"/>
                <c:pt idx="0">
                  <c:v>-0.86169181357689184</c:v>
                </c:pt>
              </c:numCache>
            </c:numRef>
          </c:xVal>
          <c:yVal>
            <c:numRef>
              <c:f>'Proccessing (2)'!$T$12</c:f>
              <c:numCache>
                <c:formatCode>General</c:formatCode>
                <c:ptCount val="1"/>
                <c:pt idx="0">
                  <c:v>-0.39998402269911643</c:v>
                </c:pt>
              </c:numCache>
            </c:numRef>
          </c:yVal>
          <c:smooth val="0"/>
          <c:extLst>
            <c:ext xmlns:c16="http://schemas.microsoft.com/office/drawing/2014/chart" uri="{C3380CC4-5D6E-409C-BE32-E72D297353CC}">
              <c16:uniqueId val="{00000005-136B-4CDA-BC11-C9DC90E6C23F}"/>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 (2)'!$P$13</c:f>
              <c:strCache>
                <c:ptCount val="1"/>
                <c:pt idx="0">
                  <c:v>Management</c:v>
                </c:pt>
              </c:strCache>
            </c:strRef>
          </c:tx>
          <c:spPr>
            <a:ln>
              <a:noFill/>
            </a:ln>
          </c:spPr>
          <c:dPt>
            <c:idx val="0"/>
            <c:bubble3D val="0"/>
            <c:spPr>
              <a:solidFill>
                <a:srgbClr val="7BB1D3"/>
              </a:solidFill>
              <a:ln w="19050">
                <a:noFill/>
              </a:ln>
              <a:effectLst/>
            </c:spPr>
            <c:extLst>
              <c:ext xmlns:c16="http://schemas.microsoft.com/office/drawing/2014/chart" uri="{C3380CC4-5D6E-409C-BE32-E72D297353CC}">
                <c16:uniqueId val="{00000001-885C-41C8-ACA9-14DDD5B2D4F2}"/>
              </c:ext>
            </c:extLst>
          </c:dPt>
          <c:dPt>
            <c:idx val="1"/>
            <c:bubble3D val="0"/>
            <c:spPr>
              <a:solidFill>
                <a:srgbClr val="5A637D"/>
              </a:solidFill>
              <a:ln w="19050">
                <a:noFill/>
              </a:ln>
              <a:effectLst/>
            </c:spPr>
            <c:extLst>
              <c:ext xmlns:c16="http://schemas.microsoft.com/office/drawing/2014/chart" uri="{C3380CC4-5D6E-409C-BE32-E72D297353CC}">
                <c16:uniqueId val="{00000003-885C-41C8-ACA9-14DDD5B2D4F2}"/>
              </c:ext>
            </c:extLst>
          </c:dPt>
          <c:val>
            <c:numRef>
              <c:f>'Proccessing (2)'!$Q$13:$R$13</c:f>
              <c:numCache>
                <c:formatCode>0%</c:formatCode>
                <c:ptCount val="2"/>
                <c:pt idx="0">
                  <c:v>0.62083333333333335</c:v>
                </c:pt>
                <c:pt idx="1">
                  <c:v>0.37916666666666665</c:v>
                </c:pt>
              </c:numCache>
            </c:numRef>
          </c:val>
          <c:extLst>
            <c:ext xmlns:c16="http://schemas.microsoft.com/office/drawing/2014/chart" uri="{C3380CC4-5D6E-409C-BE32-E72D297353CC}">
              <c16:uniqueId val="{00000004-885C-41C8-ACA9-14DDD5B2D4F2}"/>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65A5CD"/>
              </a:solidFill>
              <a:ln w="9525">
                <a:solidFill>
                  <a:schemeClr val="bg1"/>
                </a:solidFill>
              </a:ln>
              <a:effectLst>
                <a:outerShdw blurRad="50800" dist="38100" dir="5400000" algn="t" rotWithShape="0">
                  <a:prstClr val="black">
                    <a:alpha val="40000"/>
                  </a:prstClr>
                </a:outerShdw>
              </a:effectLst>
            </c:spPr>
          </c:marker>
          <c:xVal>
            <c:numRef>
              <c:f>'Proccessing (2)'!$S$13</c:f>
              <c:numCache>
                <c:formatCode>General</c:formatCode>
                <c:ptCount val="1"/>
                <c:pt idx="0">
                  <c:v>-0.91087874812478331</c:v>
                </c:pt>
              </c:numCache>
            </c:numRef>
          </c:xVal>
          <c:yVal>
            <c:numRef>
              <c:f>'Proccessing (2)'!$T$13</c:f>
              <c:numCache>
                <c:formatCode>General</c:formatCode>
                <c:ptCount val="1"/>
                <c:pt idx="0">
                  <c:v>-0.2698145774687265</c:v>
                </c:pt>
              </c:numCache>
            </c:numRef>
          </c:yVal>
          <c:smooth val="0"/>
          <c:extLst>
            <c:ext xmlns:c16="http://schemas.microsoft.com/office/drawing/2014/chart" uri="{C3380CC4-5D6E-409C-BE32-E72D297353CC}">
              <c16:uniqueId val="{00000005-885C-41C8-ACA9-14DDD5B2D4F2}"/>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1-5C8F-4005-AB2B-3D7B4FEAB06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3-5C8F-4005-AB2B-3D7B4FEAB06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5-5C8F-4005-AB2B-3D7B4FEAB06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7-5C8F-4005-AB2B-3D7B4FEAB06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9-5C8F-4005-AB2B-3D7B4FEAB06F}"/>
              </c:ext>
            </c:extLst>
          </c:dPt>
          <c:val>
            <c:numRef>
              <c:f>'Proccessing (2)'!$T$1:$X$1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5C8F-4005-AB2B-3D7B4FEAB06F}"/>
            </c:ext>
          </c:extLst>
        </c:ser>
        <c:ser>
          <c:idx val="1"/>
          <c:order val="1"/>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C-5C8F-4005-AB2B-3D7B4FEAB06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E-5C8F-4005-AB2B-3D7B4FEAB06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0-5C8F-4005-AB2B-3D7B4FEAB06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2-5C8F-4005-AB2B-3D7B4FEAB06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4-5C8F-4005-AB2B-3D7B4FEAB06F}"/>
              </c:ext>
            </c:extLst>
          </c:dPt>
          <c:val>
            <c:numRef>
              <c:f>'Proccessing (2)'!$T$2:$X$2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5C8F-4005-AB2B-3D7B4FEAB06F}"/>
            </c:ext>
          </c:extLst>
        </c:ser>
        <c:ser>
          <c:idx val="2"/>
          <c:order val="2"/>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7-5C8F-4005-AB2B-3D7B4FEAB06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9-5C8F-4005-AB2B-3D7B4FEAB06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B-5C8F-4005-AB2B-3D7B4FEAB06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D-5C8F-4005-AB2B-3D7B4FEAB06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F-5C8F-4005-AB2B-3D7B4FEAB06F}"/>
              </c:ext>
            </c:extLst>
          </c:dPt>
          <c:val>
            <c:numRef>
              <c:f>'Proccessing (2)'!$T$3:$X$3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5C8F-4005-AB2B-3D7B4FEAB06F}"/>
            </c:ext>
          </c:extLst>
        </c:ser>
        <c:dLbls>
          <c:showLegendKey val="0"/>
          <c:showVal val="0"/>
          <c:showCatName val="0"/>
          <c:showSerName val="0"/>
          <c:showPercent val="0"/>
          <c:showBubbleSize val="0"/>
          <c:showLeaderLines val="1"/>
        </c:dLbls>
        <c:firstSliceAng val="0"/>
        <c:holeSize val="30"/>
      </c:doughnutChart>
      <c:spPr>
        <a:solidFill>
          <a:srgbClr val="1B1B21"/>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'Proccessing (2)'!$Q$1</c:f>
              <c:strCache>
                <c:ptCount val="1"/>
                <c:pt idx="0">
                  <c:v>KPI</c:v>
                </c:pt>
              </c:strCache>
            </c:strRef>
          </c:tx>
          <c:spPr>
            <a:gradFill>
              <a:gsLst>
                <a:gs pos="0">
                  <a:srgbClr val="6A47FF">
                    <a:alpha val="56000"/>
                  </a:srgbClr>
                </a:gs>
                <a:gs pos="100000">
                  <a:srgbClr val="6A47FF">
                    <a:alpha val="70000"/>
                  </a:srgbClr>
                </a:gs>
              </a:gsLst>
              <a:lin ang="5400000" scaled="1"/>
            </a:gradFill>
            <a:ln>
              <a:noFill/>
            </a:ln>
            <a:effectLst/>
          </c:spPr>
          <c:cat>
            <c:strRef>
              <c:f>'Proccessing (2)'!$P$2:$P$6</c:f>
              <c:strCache>
                <c:ptCount val="5"/>
                <c:pt idx="0">
                  <c:v>Point 1</c:v>
                </c:pt>
                <c:pt idx="1">
                  <c:v>Point 2</c:v>
                </c:pt>
                <c:pt idx="2">
                  <c:v>Point 3</c:v>
                </c:pt>
                <c:pt idx="3">
                  <c:v>Point 4</c:v>
                </c:pt>
                <c:pt idx="4">
                  <c:v>Point 5</c:v>
                </c:pt>
              </c:strCache>
            </c:strRef>
          </c:cat>
          <c:val>
            <c:numRef>
              <c:f>'Proccessing (2)'!$Q$2:$Q$6</c:f>
              <c:numCache>
                <c:formatCode>General</c:formatCode>
                <c:ptCount val="5"/>
                <c:pt idx="0">
                  <c:v>422434</c:v>
                </c:pt>
                <c:pt idx="1">
                  <c:v>378765</c:v>
                </c:pt>
                <c:pt idx="2">
                  <c:v>282302</c:v>
                </c:pt>
                <c:pt idx="3">
                  <c:v>328249</c:v>
                </c:pt>
                <c:pt idx="4">
                  <c:v>422676</c:v>
                </c:pt>
              </c:numCache>
            </c:numRef>
          </c:val>
          <c:extLst>
            <c:ext xmlns:c16="http://schemas.microsoft.com/office/drawing/2014/chart" uri="{C3380CC4-5D6E-409C-BE32-E72D297353CC}">
              <c16:uniqueId val="{00000000-2548-46B6-B8E3-22C9D5678208}"/>
            </c:ext>
          </c:extLst>
        </c:ser>
        <c:ser>
          <c:idx val="1"/>
          <c:order val="1"/>
          <c:tx>
            <c:strRef>
              <c:f>'Proccessing (2)'!$R$1</c:f>
              <c:strCache>
                <c:ptCount val="1"/>
                <c:pt idx="0">
                  <c:v>Cost</c:v>
                </c:pt>
              </c:strCache>
            </c:strRef>
          </c:tx>
          <c:spPr>
            <a:gradFill>
              <a:gsLst>
                <a:gs pos="0">
                  <a:srgbClr val="00FFFF">
                    <a:alpha val="84000"/>
                  </a:srgbClr>
                </a:gs>
                <a:gs pos="100000">
                  <a:srgbClr val="00FFFF">
                    <a:alpha val="33000"/>
                  </a:srgbClr>
                </a:gs>
              </a:gsLst>
              <a:lin ang="5400000" scaled="1"/>
            </a:gradFill>
            <a:ln>
              <a:noFill/>
            </a:ln>
            <a:effectLst/>
          </c:spPr>
          <c:cat>
            <c:strRef>
              <c:f>'Proccessing (2)'!$P$2:$P$6</c:f>
              <c:strCache>
                <c:ptCount val="5"/>
                <c:pt idx="0">
                  <c:v>Point 1</c:v>
                </c:pt>
                <c:pt idx="1">
                  <c:v>Point 2</c:v>
                </c:pt>
                <c:pt idx="2">
                  <c:v>Point 3</c:v>
                </c:pt>
                <c:pt idx="3">
                  <c:v>Point 4</c:v>
                </c:pt>
                <c:pt idx="4">
                  <c:v>Point 5</c:v>
                </c:pt>
              </c:strCache>
            </c:strRef>
          </c:cat>
          <c:val>
            <c:numRef>
              <c:f>'Proccessing (2)'!$R$2:$R$6</c:f>
              <c:numCache>
                <c:formatCode>General</c:formatCode>
                <c:ptCount val="5"/>
                <c:pt idx="0">
                  <c:v>380379</c:v>
                </c:pt>
                <c:pt idx="1">
                  <c:v>338012</c:v>
                </c:pt>
                <c:pt idx="2">
                  <c:v>373511</c:v>
                </c:pt>
                <c:pt idx="3">
                  <c:v>337292</c:v>
                </c:pt>
                <c:pt idx="4">
                  <c:v>366652</c:v>
                </c:pt>
              </c:numCache>
            </c:numRef>
          </c:val>
          <c:extLst>
            <c:ext xmlns:c16="http://schemas.microsoft.com/office/drawing/2014/chart" uri="{C3380CC4-5D6E-409C-BE32-E72D297353CC}">
              <c16:uniqueId val="{00000001-2548-46B6-B8E3-22C9D5678208}"/>
            </c:ext>
          </c:extLst>
        </c:ser>
        <c:dLbls>
          <c:showLegendKey val="0"/>
          <c:showVal val="0"/>
          <c:showCatName val="0"/>
          <c:showSerName val="0"/>
          <c:showPercent val="0"/>
          <c:showBubbleSize val="0"/>
        </c:dLbls>
        <c:axId val="417296488"/>
        <c:axId val="417302392"/>
      </c:radarChart>
      <c:catAx>
        <c:axId val="41729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302392"/>
        <c:crosses val="autoZero"/>
        <c:auto val="1"/>
        <c:lblAlgn val="ctr"/>
        <c:lblOffset val="100"/>
        <c:noMultiLvlLbl val="0"/>
      </c:catAx>
      <c:valAx>
        <c:axId val="417302392"/>
        <c:scaling>
          <c:orientation val="minMax"/>
        </c:scaling>
        <c:delete val="1"/>
        <c:axPos val="l"/>
        <c:numFmt formatCode="General" sourceLinked="1"/>
        <c:majorTickMark val="none"/>
        <c:minorTickMark val="none"/>
        <c:tickLblPos val="nextTo"/>
        <c:crossAx val="41729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Active</c:v>
          </c:tx>
          <c:spPr>
            <a:gradFill flip="none" rotWithShape="1">
              <a:gsLst>
                <a:gs pos="0">
                  <a:srgbClr val="00FFFF">
                    <a:alpha val="18000"/>
                  </a:srgbClr>
                </a:gs>
                <a:gs pos="100000">
                  <a:srgbClr val="00FFFF">
                    <a:alpha val="0"/>
                  </a:srgbClr>
                </a:gs>
              </a:gsLst>
              <a:lin ang="5400000" scaled="0"/>
              <a:tileRect/>
            </a:gradFill>
            <a:ln w="25400">
              <a:noFill/>
            </a:ln>
            <a:effectLst/>
          </c:spPr>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extLst>
            <c:ext xmlns:c16="http://schemas.microsoft.com/office/drawing/2014/chart" uri="{C3380CC4-5D6E-409C-BE32-E72D297353CC}">
              <c16:uniqueId val="{00000000-BDCA-40D5-97F7-0F00C2A93C4A}"/>
            </c:ext>
          </c:extLst>
        </c:ser>
        <c:ser>
          <c:idx val="5"/>
          <c:order val="5"/>
          <c:tx>
            <c:v>Fill Average</c:v>
          </c:tx>
          <c:spPr>
            <a:gradFill flip="none" rotWithShape="1">
              <a:gsLst>
                <a:gs pos="0">
                  <a:srgbClr val="6A47FF">
                    <a:alpha val="18000"/>
                  </a:srgbClr>
                </a:gs>
                <a:gs pos="100000">
                  <a:srgbClr val="6A47FF">
                    <a:alpha val="0"/>
                  </a:srgbClr>
                </a:gs>
              </a:gsLst>
              <a:lin ang="5400000" scaled="0"/>
              <a:tileRect/>
            </a:gradFill>
            <a:ln w="25400">
              <a:noFill/>
            </a:ln>
            <a:effectLst/>
          </c:spPr>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extLst>
            <c:ext xmlns:c16="http://schemas.microsoft.com/office/drawing/2014/chart" uri="{C3380CC4-5D6E-409C-BE32-E72D297353CC}">
              <c16:uniqueId val="{00000001-BDCA-40D5-97F7-0F00C2A93C4A}"/>
            </c:ext>
          </c:extLst>
        </c:ser>
        <c:dLbls>
          <c:showLegendKey val="0"/>
          <c:showVal val="0"/>
          <c:showCatName val="0"/>
          <c:showSerName val="0"/>
          <c:showPercent val="0"/>
          <c:showBubbleSize val="0"/>
        </c:dLbls>
        <c:axId val="351840664"/>
        <c:axId val="351833448"/>
      </c:areaChart>
      <c:lineChart>
        <c:grouping val="standard"/>
        <c:varyColors val="0"/>
        <c:ser>
          <c:idx val="0"/>
          <c:order val="0"/>
          <c:tx>
            <c:strRef>
              <c:f>Proccessing!$B$1</c:f>
              <c:strCache>
                <c:ptCount val="1"/>
                <c:pt idx="0">
                  <c:v>Active Client Count</c:v>
                </c:pt>
              </c:strCache>
            </c:strRef>
          </c:tx>
          <c:spPr>
            <a:ln w="38100" cap="rnd">
              <a:solidFill>
                <a:srgbClr val="00FFFF"/>
              </a:solidFill>
              <a:round/>
            </a:ln>
            <a:effectLst/>
          </c:spPr>
          <c:marker>
            <c:symbol val="none"/>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Proccessing!$B$2:$B$13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val>
          <c:smooth val="1"/>
          <c:extLst>
            <c:ext xmlns:c16="http://schemas.microsoft.com/office/drawing/2014/chart" uri="{C3380CC4-5D6E-409C-BE32-E72D297353CC}">
              <c16:uniqueId val="{00000002-BDCA-40D5-97F7-0F00C2A93C4A}"/>
            </c:ext>
          </c:extLst>
        </c:ser>
        <c:ser>
          <c:idx val="1"/>
          <c:order val="1"/>
          <c:tx>
            <c:strRef>
              <c:f>Proccessing!$C$1</c:f>
              <c:strCache>
                <c:ptCount val="1"/>
                <c:pt idx="0">
                  <c:v>Average Client Count</c:v>
                </c:pt>
              </c:strCache>
            </c:strRef>
          </c:tx>
          <c:spPr>
            <a:ln w="38100" cap="rnd">
              <a:solidFill>
                <a:srgbClr val="6A47FF"/>
              </a:solidFill>
              <a:round/>
            </a:ln>
            <a:effectLst/>
          </c:spPr>
          <c:marker>
            <c:symbol val="none"/>
          </c:marker>
          <c:cat>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Proccessing!$C$2:$C$13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val>
          <c:smooth val="1"/>
          <c:extLst>
            <c:ext xmlns:c16="http://schemas.microsoft.com/office/drawing/2014/chart" uri="{C3380CC4-5D6E-409C-BE32-E72D297353CC}">
              <c16:uniqueId val="{00000003-BDCA-40D5-97F7-0F00C2A93C4A}"/>
            </c:ext>
          </c:extLst>
        </c:ser>
        <c:dLbls>
          <c:showLegendKey val="0"/>
          <c:showVal val="0"/>
          <c:showCatName val="0"/>
          <c:showSerName val="0"/>
          <c:showPercent val="0"/>
          <c:showBubbleSize val="0"/>
        </c:dLbls>
        <c:marker val="1"/>
        <c:smooth val="0"/>
        <c:axId val="351840664"/>
        <c:axId val="351833448"/>
      </c:lineChart>
      <c:scatterChart>
        <c:scatterStyle val="lineMarker"/>
        <c:varyColors val="0"/>
        <c:ser>
          <c:idx val="2"/>
          <c:order val="2"/>
          <c:tx>
            <c:strRef>
              <c:f>Proccessing!$D$1</c:f>
              <c:strCache>
                <c:ptCount val="1"/>
                <c:pt idx="0">
                  <c:v>Select Active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Proccessing!$D$2:$D$13</c:f>
              <c:numCache>
                <c:formatCode>General</c:formatCode>
                <c:ptCount val="12"/>
                <c:pt idx="0">
                  <c:v>694</c:v>
                </c:pt>
                <c:pt idx="1">
                  <c:v>1085</c:v>
                </c:pt>
                <c:pt idx="2">
                  <c:v>1034</c:v>
                </c:pt>
                <c:pt idx="3">
                  <c:v>812</c:v>
                </c:pt>
                <c:pt idx="4">
                  <c:v>663</c:v>
                </c:pt>
                <c:pt idx="5">
                  <c:v>837</c:v>
                </c:pt>
                <c:pt idx="6">
                  <c:v>885</c:v>
                </c:pt>
                <c:pt idx="7">
                  <c:v>620</c:v>
                </c:pt>
                <c:pt idx="8">
                  <c:v>1057</c:v>
                </c:pt>
                <c:pt idx="9">
                  <c:v>747</c:v>
                </c:pt>
                <c:pt idx="10">
                  <c:v>768</c:v>
                </c:pt>
                <c:pt idx="11">
                  <c:v>750</c:v>
                </c:pt>
              </c:numCache>
            </c:numRef>
          </c:yVal>
          <c:smooth val="0"/>
          <c:extLst>
            <c:ext xmlns:c16="http://schemas.microsoft.com/office/drawing/2014/chart" uri="{C3380CC4-5D6E-409C-BE32-E72D297353CC}">
              <c16:uniqueId val="{00000004-BDCA-40D5-97F7-0F00C2A93C4A}"/>
            </c:ext>
          </c:extLst>
        </c:ser>
        <c:ser>
          <c:idx val="3"/>
          <c:order val="3"/>
          <c:tx>
            <c:strRef>
              <c:f>Proccessing!$E$1</c:f>
              <c:strCache>
                <c:ptCount val="1"/>
                <c:pt idx="0">
                  <c:v>Select Average</c:v>
                </c:pt>
              </c:strCache>
            </c:strRef>
          </c:tx>
          <c:spPr>
            <a:ln w="25400" cap="rnd">
              <a:noFill/>
              <a:round/>
            </a:ln>
            <a:effectLst/>
          </c:spPr>
          <c:marker>
            <c:symbol val="circle"/>
            <c:size val="5"/>
            <c:spPr>
              <a:solidFill>
                <a:srgbClr val="A893FF"/>
              </a:solidFill>
              <a:ln w="9525">
                <a:solidFill>
                  <a:schemeClr val="bg1"/>
                </a:solidFill>
              </a:ln>
              <a:effectLst/>
            </c:spPr>
          </c:marker>
          <c:errBars>
            <c:errDir val="y"/>
            <c:errBarType val="minus"/>
            <c:errValType val="cust"/>
            <c:noEndCap val="0"/>
            <c:plus>
              <c:numLit>
                <c:formatCode>General</c:formatCode>
                <c:ptCount val="1"/>
                <c:pt idx="0">
                  <c:v>1</c:v>
                </c:pt>
              </c:numLit>
            </c:plus>
            <c:minus>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minus>
            <c:spPr>
              <a:noFill/>
              <a:ln w="9525" cap="flat" cmpd="sng" algn="ctr">
                <a:solidFill>
                  <a:schemeClr val="tx1">
                    <a:lumMod val="65000"/>
                    <a:lumOff val="35000"/>
                  </a:schemeClr>
                </a:solidFill>
                <a:round/>
              </a:ln>
              <a:effectLst/>
            </c:spPr>
          </c:errBars>
          <c:xVal>
            <c:strRef>
              <c:f>Proccessing!$A$2:$A$13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Proccessing!$E$2:$E$13</c:f>
              <c:numCache>
                <c:formatCode>General</c:formatCode>
                <c:ptCount val="12"/>
                <c:pt idx="0">
                  <c:v>792</c:v>
                </c:pt>
                <c:pt idx="1">
                  <c:v>753</c:v>
                </c:pt>
                <c:pt idx="2">
                  <c:v>712</c:v>
                </c:pt>
                <c:pt idx="3">
                  <c:v>849</c:v>
                </c:pt>
                <c:pt idx="4">
                  <c:v>978</c:v>
                </c:pt>
                <c:pt idx="5">
                  <c:v>603</c:v>
                </c:pt>
                <c:pt idx="6">
                  <c:v>642</c:v>
                </c:pt>
                <c:pt idx="7">
                  <c:v>793</c:v>
                </c:pt>
                <c:pt idx="8">
                  <c:v>776</c:v>
                </c:pt>
                <c:pt idx="9">
                  <c:v>933</c:v>
                </c:pt>
                <c:pt idx="10">
                  <c:v>964</c:v>
                </c:pt>
                <c:pt idx="11">
                  <c:v>818</c:v>
                </c:pt>
              </c:numCache>
            </c:numRef>
          </c:yVal>
          <c:smooth val="0"/>
          <c:extLst>
            <c:ext xmlns:c16="http://schemas.microsoft.com/office/drawing/2014/chart" uri="{C3380CC4-5D6E-409C-BE32-E72D297353CC}">
              <c16:uniqueId val="{00000005-BDCA-40D5-97F7-0F00C2A93C4A}"/>
            </c:ext>
          </c:extLst>
        </c:ser>
        <c:dLbls>
          <c:showLegendKey val="0"/>
          <c:showVal val="0"/>
          <c:showCatName val="0"/>
          <c:showSerName val="0"/>
          <c:showPercent val="0"/>
          <c:showBubbleSize val="0"/>
        </c:dLbls>
        <c:axId val="351840664"/>
        <c:axId val="351833448"/>
      </c:scatterChart>
      <c:catAx>
        <c:axId val="3518406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33448"/>
        <c:crosses val="autoZero"/>
        <c:auto val="1"/>
        <c:lblAlgn val="ctr"/>
        <c:lblOffset val="100"/>
        <c:noMultiLvlLbl val="0"/>
      </c:catAx>
      <c:valAx>
        <c:axId val="351833448"/>
        <c:scaling>
          <c:orientation val="minMax"/>
        </c:scaling>
        <c:delete val="1"/>
        <c:axPos val="l"/>
        <c:numFmt formatCode="General" sourceLinked="1"/>
        <c:majorTickMark val="none"/>
        <c:minorTickMark val="none"/>
        <c:tickLblPos val="nextTo"/>
        <c:crossAx val="351840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Proccessing!$M$1</c:f>
              <c:strCache>
                <c:ptCount val="1"/>
                <c:pt idx="0">
                  <c:v>Indent</c:v>
                </c:pt>
              </c:strCache>
            </c:strRef>
          </c:tx>
          <c:spPr>
            <a:blipFill>
              <a:blip xmlns:r="http://schemas.openxmlformats.org/officeDocument/2006/relationships" r:embed="rId3"/>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0-5162-4D0F-ADFE-603F3C04EF2C}"/>
            </c:ext>
          </c:extLst>
        </c:ser>
        <c:ser>
          <c:idx val="0"/>
          <c:order val="1"/>
          <c:tx>
            <c:strRef>
              <c:f>Proccessing!$J$1</c:f>
              <c:strCache>
                <c:ptCount val="1"/>
                <c:pt idx="0">
                  <c:v>Total</c:v>
                </c:pt>
              </c:strCache>
            </c:strRef>
          </c:tx>
          <c:spPr>
            <a:solidFill>
              <a:srgbClr val="5A637D"/>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Proccessing!$J$2:$J$13</c:f>
              <c:numCache>
                <c:formatCode>General</c:formatCode>
                <c:ptCount val="12"/>
                <c:pt idx="0">
                  <c:v>1591</c:v>
                </c:pt>
                <c:pt idx="1">
                  <c:v>1413</c:v>
                </c:pt>
                <c:pt idx="2">
                  <c:v>1746</c:v>
                </c:pt>
                <c:pt idx="3">
                  <c:v>1446</c:v>
                </c:pt>
                <c:pt idx="4">
                  <c:v>1494</c:v>
                </c:pt>
                <c:pt idx="5">
                  <c:v>1362</c:v>
                </c:pt>
                <c:pt idx="6">
                  <c:v>1266</c:v>
                </c:pt>
                <c:pt idx="7">
                  <c:v>1467</c:v>
                </c:pt>
                <c:pt idx="8">
                  <c:v>1316</c:v>
                </c:pt>
                <c:pt idx="9">
                  <c:v>1785</c:v>
                </c:pt>
                <c:pt idx="10">
                  <c:v>1534</c:v>
                </c:pt>
                <c:pt idx="11">
                  <c:v>1858</c:v>
                </c:pt>
              </c:numCache>
            </c:numRef>
          </c:val>
          <c:extLst>
            <c:ext xmlns:c16="http://schemas.microsoft.com/office/drawing/2014/chart" uri="{C3380CC4-5D6E-409C-BE32-E72D297353CC}">
              <c16:uniqueId val="{00000001-5162-4D0F-ADFE-603F3C04EF2C}"/>
            </c:ext>
          </c:extLst>
        </c:ser>
        <c:ser>
          <c:idx val="5"/>
          <c:order val="2"/>
          <c:tx>
            <c:strRef>
              <c:f>Proccessing!$M$1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Proccessing!$M$2:$M$13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2-5162-4D0F-ADFE-603F3C04EF2C}"/>
            </c:ext>
          </c:extLst>
        </c:ser>
        <c:dLbls>
          <c:showLegendKey val="0"/>
          <c:showVal val="0"/>
          <c:showCatName val="0"/>
          <c:showSerName val="0"/>
          <c:showPercent val="0"/>
          <c:showBubbleSize val="0"/>
        </c:dLbls>
        <c:gapWidth val="80"/>
        <c:overlap val="100"/>
        <c:axId val="412559248"/>
        <c:axId val="412556952"/>
      </c:barChart>
      <c:barChart>
        <c:barDir val="col"/>
        <c:grouping val="stacked"/>
        <c:varyColors val="0"/>
        <c:ser>
          <c:idx val="4"/>
          <c:order val="3"/>
          <c:tx>
            <c:strRef>
              <c:f>Proccessing!$N$1</c:f>
              <c:strCache>
                <c:ptCount val="1"/>
                <c:pt idx="0">
                  <c:v>Indent Select </c:v>
                </c:pt>
              </c:strCache>
            </c:strRef>
          </c:tx>
          <c:spPr>
            <a:blipFill>
              <a:blip xmlns:r="http://schemas.openxmlformats.org/officeDocument/2006/relationships" r:embed="rId5"/>
              <a:stretch>
                <a:fillRect/>
              </a:stretch>
            </a:blip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3-5162-4D0F-ADFE-603F3C04EF2C}"/>
            </c:ext>
          </c:extLst>
        </c:ser>
        <c:ser>
          <c:idx val="1"/>
          <c:order val="4"/>
          <c:tx>
            <c:strRef>
              <c:f>Proccessing!$K$1</c:f>
              <c:strCache>
                <c:ptCount val="1"/>
                <c:pt idx="0">
                  <c:v>New Select</c:v>
                </c:pt>
              </c:strCache>
            </c:strRef>
          </c:tx>
          <c:spPr>
            <a:solidFill>
              <a:srgbClr val="6A47FF"/>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Proccessing!$K$2:$K$13</c:f>
              <c:numCache>
                <c:formatCode>General</c:formatCode>
                <c:ptCount val="12"/>
                <c:pt idx="0">
                  <c:v>654</c:v>
                </c:pt>
                <c:pt idx="1">
                  <c:v>756</c:v>
                </c:pt>
                <c:pt idx="2">
                  <c:v>885</c:v>
                </c:pt>
                <c:pt idx="3">
                  <c:v>835</c:v>
                </c:pt>
                <c:pt idx="4">
                  <c:v>853</c:v>
                </c:pt>
                <c:pt idx="5">
                  <c:v>615</c:v>
                </c:pt>
                <c:pt idx="6">
                  <c:v>671</c:v>
                </c:pt>
                <c:pt idx="7">
                  <c:v>835</c:v>
                </c:pt>
                <c:pt idx="8">
                  <c:v>562</c:v>
                </c:pt>
                <c:pt idx="9">
                  <c:v>1040</c:v>
                </c:pt>
                <c:pt idx="10">
                  <c:v>877</c:v>
                </c:pt>
                <c:pt idx="11">
                  <c:v>905</c:v>
                </c:pt>
              </c:numCache>
            </c:numRef>
          </c:val>
          <c:extLst>
            <c:ext xmlns:c16="http://schemas.microsoft.com/office/drawing/2014/chart" uri="{C3380CC4-5D6E-409C-BE32-E72D297353CC}">
              <c16:uniqueId val="{00000004-5162-4D0F-ADFE-603F3C04EF2C}"/>
            </c:ext>
          </c:extLst>
        </c:ser>
        <c:ser>
          <c:idx val="2"/>
          <c:order val="5"/>
          <c:tx>
            <c:strRef>
              <c:f>Proccessing!$L$1</c:f>
              <c:strCache>
                <c:ptCount val="1"/>
                <c:pt idx="0">
                  <c:v>Regular Select</c:v>
                </c:pt>
              </c:strCache>
            </c:strRef>
          </c:tx>
          <c:spPr>
            <a:solidFill>
              <a:srgbClr val="00FFFF"/>
            </a:solidFill>
            <a:ln>
              <a:noFill/>
            </a:ln>
            <a:effectLst/>
          </c:spPr>
          <c:invertIfNegative val="0"/>
          <c:cat>
            <c:strRef>
              <c:f>Proccessing!$I$2:$I$13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Proccessing!$L$2:$L$13</c:f>
              <c:numCache>
                <c:formatCode>General</c:formatCode>
                <c:ptCount val="12"/>
                <c:pt idx="0">
                  <c:v>937</c:v>
                </c:pt>
                <c:pt idx="1">
                  <c:v>657</c:v>
                </c:pt>
                <c:pt idx="2">
                  <c:v>861</c:v>
                </c:pt>
                <c:pt idx="3">
                  <c:v>611</c:v>
                </c:pt>
                <c:pt idx="4">
                  <c:v>641</c:v>
                </c:pt>
                <c:pt idx="5">
                  <c:v>747</c:v>
                </c:pt>
                <c:pt idx="6">
                  <c:v>595</c:v>
                </c:pt>
                <c:pt idx="7">
                  <c:v>632</c:v>
                </c:pt>
                <c:pt idx="8">
                  <c:v>754</c:v>
                </c:pt>
                <c:pt idx="9">
                  <c:v>745</c:v>
                </c:pt>
                <c:pt idx="10">
                  <c:v>657</c:v>
                </c:pt>
                <c:pt idx="11">
                  <c:v>953</c:v>
                </c:pt>
              </c:numCache>
            </c:numRef>
          </c:val>
          <c:extLst>
            <c:ext xmlns:c16="http://schemas.microsoft.com/office/drawing/2014/chart" uri="{C3380CC4-5D6E-409C-BE32-E72D297353CC}">
              <c16:uniqueId val="{00000005-5162-4D0F-ADFE-603F3C04EF2C}"/>
            </c:ext>
          </c:extLst>
        </c:ser>
        <c:ser>
          <c:idx val="6"/>
          <c:order val="6"/>
          <c:tx>
            <c:strRef>
              <c:f>Proccessing!$N$1</c:f>
              <c:strCache>
                <c:ptCount val="1"/>
                <c:pt idx="0">
                  <c:v>Indent Select </c:v>
                </c:pt>
              </c:strCache>
            </c:strRef>
          </c:tx>
          <c:spPr>
            <a:blipFill>
              <a:blip xmlns:r="http://schemas.openxmlformats.org/officeDocument/2006/relationships" r:embed="rId6"/>
              <a:stretch>
                <a:fillRect/>
              </a:stretch>
            </a:blipFill>
            <a:ln>
              <a:noFill/>
            </a:ln>
            <a:effectLst/>
          </c:spPr>
          <c:invertIfNegative val="0"/>
          <c:val>
            <c:numRef>
              <c:f>Proccessing!$N$2:$N$13</c:f>
              <c:numCache>
                <c:formatCode>General</c:formatCode>
                <c:ptCount val="12"/>
                <c:pt idx="0">
                  <c:v>41.6</c:v>
                </c:pt>
                <c:pt idx="1">
                  <c:v>41.6</c:v>
                </c:pt>
                <c:pt idx="2">
                  <c:v>41.6</c:v>
                </c:pt>
                <c:pt idx="3">
                  <c:v>41.6</c:v>
                </c:pt>
                <c:pt idx="4">
                  <c:v>41.6</c:v>
                </c:pt>
                <c:pt idx="5">
                  <c:v>41.6</c:v>
                </c:pt>
                <c:pt idx="6">
                  <c:v>41.6</c:v>
                </c:pt>
                <c:pt idx="7">
                  <c:v>41.6</c:v>
                </c:pt>
                <c:pt idx="8">
                  <c:v>41.6</c:v>
                </c:pt>
                <c:pt idx="9">
                  <c:v>41.6</c:v>
                </c:pt>
                <c:pt idx="10">
                  <c:v>41.6</c:v>
                </c:pt>
                <c:pt idx="11">
                  <c:v>41.6</c:v>
                </c:pt>
              </c:numCache>
            </c:numRef>
          </c:val>
          <c:extLst>
            <c:ext xmlns:c16="http://schemas.microsoft.com/office/drawing/2014/chart" uri="{C3380CC4-5D6E-409C-BE32-E72D297353CC}">
              <c16:uniqueId val="{00000006-5162-4D0F-ADFE-603F3C04EF2C}"/>
            </c:ext>
          </c:extLst>
        </c:ser>
        <c:dLbls>
          <c:showLegendKey val="0"/>
          <c:showVal val="0"/>
          <c:showCatName val="0"/>
          <c:showSerName val="0"/>
          <c:showPercent val="0"/>
          <c:showBubbleSize val="0"/>
        </c:dLbls>
        <c:gapWidth val="80"/>
        <c:overlap val="100"/>
        <c:axId val="412565808"/>
        <c:axId val="412565152"/>
      </c:barChart>
      <c:catAx>
        <c:axId val="412559248"/>
        <c:scaling>
          <c:orientation val="minMax"/>
        </c:scaling>
        <c:delete val="1"/>
        <c:axPos val="b"/>
        <c:numFmt formatCode="General" sourceLinked="1"/>
        <c:majorTickMark val="out"/>
        <c:minorTickMark val="none"/>
        <c:tickLblPos val="nextTo"/>
        <c:crossAx val="412556952"/>
        <c:crosses val="autoZero"/>
        <c:auto val="1"/>
        <c:lblAlgn val="ctr"/>
        <c:lblOffset val="100"/>
        <c:noMultiLvlLbl val="0"/>
      </c:catAx>
      <c:valAx>
        <c:axId val="412556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412559248"/>
        <c:crosses val="autoZero"/>
        <c:crossBetween val="between"/>
      </c:valAx>
      <c:valAx>
        <c:axId val="412565152"/>
        <c:scaling>
          <c:orientation val="minMax"/>
        </c:scaling>
        <c:delete val="1"/>
        <c:axPos val="r"/>
        <c:numFmt formatCode="General" sourceLinked="1"/>
        <c:majorTickMark val="out"/>
        <c:minorTickMark val="none"/>
        <c:tickLblPos val="nextTo"/>
        <c:crossAx val="412565808"/>
        <c:crosses val="max"/>
        <c:crossBetween val="between"/>
      </c:valAx>
      <c:catAx>
        <c:axId val="412565808"/>
        <c:scaling>
          <c:orientation val="minMax"/>
        </c:scaling>
        <c:delete val="1"/>
        <c:axPos val="t"/>
        <c:numFmt formatCode="General" sourceLinked="1"/>
        <c:majorTickMark val="out"/>
        <c:minorTickMark val="none"/>
        <c:tickLblPos val="nextTo"/>
        <c:crossAx val="412565152"/>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lgn="just">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Proccessing!$P$11</c:f>
              <c:strCache>
                <c:ptCount val="1"/>
                <c:pt idx="0">
                  <c:v>Customer</c:v>
                </c:pt>
              </c:strCache>
            </c:strRef>
          </c:tx>
          <c:spPr>
            <a:ln>
              <a:noFill/>
            </a:ln>
          </c:spPr>
          <c:dPt>
            <c:idx val="0"/>
            <c:bubble3D val="0"/>
            <c:spPr>
              <a:solidFill>
                <a:srgbClr val="51F52B"/>
              </a:solidFill>
              <a:ln w="19050">
                <a:noFill/>
              </a:ln>
              <a:effectLst/>
            </c:spPr>
            <c:extLst>
              <c:ext xmlns:c16="http://schemas.microsoft.com/office/drawing/2014/chart" uri="{C3380CC4-5D6E-409C-BE32-E72D297353CC}">
                <c16:uniqueId val="{00000001-1DC7-48C1-A8B6-412112B32B6D}"/>
              </c:ext>
            </c:extLst>
          </c:dPt>
          <c:dPt>
            <c:idx val="1"/>
            <c:bubble3D val="0"/>
            <c:spPr>
              <a:solidFill>
                <a:srgbClr val="5A637D"/>
              </a:solidFill>
              <a:ln w="19050">
                <a:noFill/>
              </a:ln>
              <a:effectLst/>
            </c:spPr>
            <c:extLst>
              <c:ext xmlns:c16="http://schemas.microsoft.com/office/drawing/2014/chart" uri="{C3380CC4-5D6E-409C-BE32-E72D297353CC}">
                <c16:uniqueId val="{00000003-1DC7-48C1-A8B6-412112B32B6D}"/>
              </c:ext>
            </c:extLst>
          </c:dPt>
          <c:val>
            <c:numRef>
              <c:f>Proccessing!$Q$11:$R$11</c:f>
              <c:numCache>
                <c:formatCode>0%</c:formatCode>
                <c:ptCount val="2"/>
                <c:pt idx="0">
                  <c:v>0.58333333333333326</c:v>
                </c:pt>
                <c:pt idx="1">
                  <c:v>0.41666666666666674</c:v>
                </c:pt>
              </c:numCache>
            </c:numRef>
          </c:val>
          <c:extLst>
            <c:ext xmlns:c16="http://schemas.microsoft.com/office/drawing/2014/chart" uri="{C3380CC4-5D6E-409C-BE32-E72D297353CC}">
              <c16:uniqueId val="{00000004-1DC7-48C1-A8B6-412112B32B6D}"/>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a:outerShdw blurRad="50800" dist="38100" dir="5400000" algn="t" rotWithShape="0">
                <a:prstClr val="black">
                  <a:alpha val="40000"/>
                </a:prstClr>
              </a:outerShdw>
            </a:effectLst>
          </c:spPr>
          <c:marker>
            <c:symbol val="circle"/>
            <c:size val="13"/>
            <c:spPr>
              <a:solidFill>
                <a:srgbClr val="51F52B"/>
              </a:solidFill>
              <a:ln w="9525">
                <a:solidFill>
                  <a:schemeClr val="bg1"/>
                </a:solidFill>
              </a:ln>
              <a:effectLst>
                <a:outerShdw blurRad="50800" dist="38100" dir="5400000" algn="t" rotWithShape="0">
                  <a:prstClr val="black">
                    <a:alpha val="40000"/>
                  </a:prstClr>
                </a:outerShdw>
              </a:effectLst>
            </c:spPr>
          </c:marker>
          <c:xVal>
            <c:numRef>
              <c:f>Proccessing!$S$11</c:f>
              <c:numCache>
                <c:formatCode>General</c:formatCode>
                <c:ptCount val="1"/>
                <c:pt idx="0">
                  <c:v>-0.82272413359521646</c:v>
                </c:pt>
              </c:numCache>
            </c:numRef>
          </c:xVal>
          <c:yVal>
            <c:numRef>
              <c:f>Proccessing!$T$11</c:f>
              <c:numCache>
                <c:formatCode>General</c:formatCode>
                <c:ptCount val="1"/>
                <c:pt idx="0">
                  <c:v>-0.47500000000000053</c:v>
                </c:pt>
              </c:numCache>
            </c:numRef>
          </c:yVal>
          <c:smooth val="0"/>
          <c:extLst>
            <c:ext xmlns:c16="http://schemas.microsoft.com/office/drawing/2014/chart" uri="{C3380CC4-5D6E-409C-BE32-E72D297353CC}">
              <c16:uniqueId val="{00000005-1DC7-48C1-A8B6-412112B32B6D}"/>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Proccessing!$P$12</c:f>
              <c:strCache>
                <c:ptCount val="1"/>
                <c:pt idx="0">
                  <c:v>Relationship</c:v>
                </c:pt>
              </c:strCache>
            </c:strRef>
          </c:tx>
          <c:spPr>
            <a:ln>
              <a:noFill/>
            </a:ln>
          </c:spPr>
          <c:dPt>
            <c:idx val="0"/>
            <c:bubble3D val="0"/>
            <c:spPr>
              <a:solidFill>
                <a:srgbClr val="8439BD"/>
              </a:solidFill>
              <a:ln w="19050">
                <a:noFill/>
              </a:ln>
              <a:effectLst/>
            </c:spPr>
            <c:extLst>
              <c:ext xmlns:c16="http://schemas.microsoft.com/office/drawing/2014/chart" uri="{C3380CC4-5D6E-409C-BE32-E72D297353CC}">
                <c16:uniqueId val="{00000001-E3E1-4A2A-9EA0-3756CFF36AF2}"/>
              </c:ext>
            </c:extLst>
          </c:dPt>
          <c:dPt>
            <c:idx val="1"/>
            <c:bubble3D val="0"/>
            <c:spPr>
              <a:solidFill>
                <a:srgbClr val="5A637D"/>
              </a:solidFill>
              <a:ln w="19050">
                <a:noFill/>
              </a:ln>
              <a:effectLst/>
            </c:spPr>
            <c:extLst>
              <c:ext xmlns:c16="http://schemas.microsoft.com/office/drawing/2014/chart" uri="{C3380CC4-5D6E-409C-BE32-E72D297353CC}">
                <c16:uniqueId val="{00000003-E3E1-4A2A-9EA0-3756CFF36AF2}"/>
              </c:ext>
            </c:extLst>
          </c:dPt>
          <c:val>
            <c:numRef>
              <c:f>Proccessing!$Q$12:$R$12</c:f>
              <c:numCache>
                <c:formatCode>0%</c:formatCode>
                <c:ptCount val="2"/>
                <c:pt idx="0">
                  <c:v>0.59750000000000003</c:v>
                </c:pt>
                <c:pt idx="1">
                  <c:v>0.40249999999999997</c:v>
                </c:pt>
              </c:numCache>
            </c:numRef>
          </c:val>
          <c:extLst>
            <c:ext xmlns:c16="http://schemas.microsoft.com/office/drawing/2014/chart" uri="{C3380CC4-5D6E-409C-BE32-E72D297353CC}">
              <c16:uniqueId val="{00000004-E3E1-4A2A-9EA0-3756CFF36AF2}"/>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8439BD"/>
              </a:solidFill>
              <a:ln w="9525">
                <a:solidFill>
                  <a:schemeClr val="bg1"/>
                </a:solidFill>
              </a:ln>
              <a:effectLst>
                <a:outerShdw blurRad="50800" dist="38100" dir="5400000" algn="t" rotWithShape="0">
                  <a:prstClr val="black">
                    <a:alpha val="40000"/>
                  </a:prstClr>
                </a:outerShdw>
              </a:effectLst>
            </c:spPr>
          </c:marker>
          <c:xVal>
            <c:numRef>
              <c:f>Proccessing!$S$12</c:f>
              <c:numCache>
                <c:formatCode>General</c:formatCode>
                <c:ptCount val="1"/>
                <c:pt idx="0">
                  <c:v>-0.86169181357689184</c:v>
                </c:pt>
              </c:numCache>
            </c:numRef>
          </c:xVal>
          <c:yVal>
            <c:numRef>
              <c:f>Proccessing!$T$12</c:f>
              <c:numCache>
                <c:formatCode>General</c:formatCode>
                <c:ptCount val="1"/>
                <c:pt idx="0">
                  <c:v>-0.39998402269911643</c:v>
                </c:pt>
              </c:numCache>
            </c:numRef>
          </c:yVal>
          <c:smooth val="0"/>
          <c:extLst>
            <c:ext xmlns:c16="http://schemas.microsoft.com/office/drawing/2014/chart" uri="{C3380CC4-5D6E-409C-BE32-E72D297353CC}">
              <c16:uniqueId val="{00000005-E3E1-4A2A-9EA0-3756CFF36AF2}"/>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Proccessing!$P$13</c:f>
              <c:strCache>
                <c:ptCount val="1"/>
                <c:pt idx="0">
                  <c:v>Management</c:v>
                </c:pt>
              </c:strCache>
            </c:strRef>
          </c:tx>
          <c:spPr>
            <a:ln>
              <a:noFill/>
            </a:ln>
          </c:spPr>
          <c:dPt>
            <c:idx val="0"/>
            <c:bubble3D val="0"/>
            <c:spPr>
              <a:solidFill>
                <a:srgbClr val="7BB1D3"/>
              </a:solidFill>
              <a:ln w="19050">
                <a:noFill/>
              </a:ln>
              <a:effectLst/>
            </c:spPr>
            <c:extLst>
              <c:ext xmlns:c16="http://schemas.microsoft.com/office/drawing/2014/chart" uri="{C3380CC4-5D6E-409C-BE32-E72D297353CC}">
                <c16:uniqueId val="{00000001-7A1D-4EA7-BBF4-4CA151685C46}"/>
              </c:ext>
            </c:extLst>
          </c:dPt>
          <c:dPt>
            <c:idx val="1"/>
            <c:bubble3D val="0"/>
            <c:spPr>
              <a:solidFill>
                <a:srgbClr val="5A637D"/>
              </a:solidFill>
              <a:ln w="19050">
                <a:noFill/>
              </a:ln>
              <a:effectLst/>
            </c:spPr>
            <c:extLst>
              <c:ext xmlns:c16="http://schemas.microsoft.com/office/drawing/2014/chart" uri="{C3380CC4-5D6E-409C-BE32-E72D297353CC}">
                <c16:uniqueId val="{00000003-7A1D-4EA7-BBF4-4CA151685C46}"/>
              </c:ext>
            </c:extLst>
          </c:dPt>
          <c:val>
            <c:numRef>
              <c:f>Proccessing!$Q$13:$R$13</c:f>
              <c:numCache>
                <c:formatCode>0%</c:formatCode>
                <c:ptCount val="2"/>
                <c:pt idx="0">
                  <c:v>0.62083333333333335</c:v>
                </c:pt>
                <c:pt idx="1">
                  <c:v>0.37916666666666665</c:v>
                </c:pt>
              </c:numCache>
            </c:numRef>
          </c:val>
          <c:extLst>
            <c:ext xmlns:c16="http://schemas.microsoft.com/office/drawing/2014/chart" uri="{C3380CC4-5D6E-409C-BE32-E72D297353CC}">
              <c16:uniqueId val="{00000004-7A1D-4EA7-BBF4-4CA151685C46}"/>
            </c:ext>
          </c:extLst>
        </c:ser>
        <c:dLbls>
          <c:showLegendKey val="0"/>
          <c:showVal val="0"/>
          <c:showCatName val="0"/>
          <c:showSerName val="0"/>
          <c:showPercent val="0"/>
          <c:showBubbleSize val="0"/>
          <c:showLeaderLines val="1"/>
        </c:dLbls>
        <c:firstSliceAng val="30"/>
        <c:holeSize val="90"/>
      </c:doughnutChart>
      <c:scatterChart>
        <c:scatterStyle val="lineMarker"/>
        <c:varyColors val="0"/>
        <c:ser>
          <c:idx val="1"/>
          <c:order val="1"/>
          <c:tx>
            <c:v>Cursor</c:v>
          </c:tx>
          <c:spPr>
            <a:ln w="25400" cap="rnd">
              <a:noFill/>
              <a:round/>
            </a:ln>
            <a:effectLst/>
          </c:spPr>
          <c:marker>
            <c:symbol val="circle"/>
            <c:size val="13"/>
            <c:spPr>
              <a:solidFill>
                <a:srgbClr val="65A5CD"/>
              </a:solidFill>
              <a:ln w="9525">
                <a:solidFill>
                  <a:schemeClr val="bg1"/>
                </a:solidFill>
              </a:ln>
              <a:effectLst>
                <a:outerShdw blurRad="50800" dist="38100" dir="5400000" algn="t" rotWithShape="0">
                  <a:prstClr val="black">
                    <a:alpha val="40000"/>
                  </a:prstClr>
                </a:outerShdw>
              </a:effectLst>
            </c:spPr>
          </c:marker>
          <c:xVal>
            <c:numRef>
              <c:f>Proccessing!$S$13</c:f>
              <c:numCache>
                <c:formatCode>General</c:formatCode>
                <c:ptCount val="1"/>
                <c:pt idx="0">
                  <c:v>-0.91087874812478331</c:v>
                </c:pt>
              </c:numCache>
            </c:numRef>
          </c:xVal>
          <c:yVal>
            <c:numRef>
              <c:f>Proccessing!$T$13</c:f>
              <c:numCache>
                <c:formatCode>General</c:formatCode>
                <c:ptCount val="1"/>
                <c:pt idx="0">
                  <c:v>-0.2698145774687265</c:v>
                </c:pt>
              </c:numCache>
            </c:numRef>
          </c:yVal>
          <c:smooth val="0"/>
          <c:extLst>
            <c:ext xmlns:c16="http://schemas.microsoft.com/office/drawing/2014/chart" uri="{C3380CC4-5D6E-409C-BE32-E72D297353CC}">
              <c16:uniqueId val="{00000005-7A1D-4EA7-BBF4-4CA151685C46}"/>
            </c:ext>
          </c:extLst>
        </c:ser>
        <c:dLbls>
          <c:showLegendKey val="0"/>
          <c:showVal val="0"/>
          <c:showCatName val="0"/>
          <c:showSerName val="0"/>
          <c:showPercent val="0"/>
          <c:showBubbleSize val="0"/>
        </c:dLbls>
        <c:axId val="397417360"/>
        <c:axId val="397417032"/>
      </c:scatterChart>
      <c:valAx>
        <c:axId val="397417032"/>
        <c:scaling>
          <c:orientation val="minMax"/>
          <c:max val="1"/>
          <c:min val="-1"/>
        </c:scaling>
        <c:delete val="1"/>
        <c:axPos val="l"/>
        <c:numFmt formatCode="General" sourceLinked="1"/>
        <c:majorTickMark val="out"/>
        <c:minorTickMark val="none"/>
        <c:tickLblPos val="nextTo"/>
        <c:crossAx val="397417360"/>
        <c:crosses val="autoZero"/>
        <c:crossBetween val="midCat"/>
      </c:valAx>
      <c:valAx>
        <c:axId val="397417360"/>
        <c:scaling>
          <c:orientation val="minMax"/>
          <c:max val="1"/>
          <c:min val="-1"/>
        </c:scaling>
        <c:delete val="1"/>
        <c:axPos val="b"/>
        <c:numFmt formatCode="General" sourceLinked="1"/>
        <c:majorTickMark val="out"/>
        <c:minorTickMark val="none"/>
        <c:tickLblPos val="nextTo"/>
        <c:crossAx val="397417032"/>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1-5D26-422E-9BB7-A22D3EA41F9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3-5D26-422E-9BB7-A22D3EA41F9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5-5D26-422E-9BB7-A22D3EA41F9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7-5D26-422E-9BB7-A22D3EA41F9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9-5D26-422E-9BB7-A22D3EA41F9F}"/>
              </c:ext>
            </c:extLst>
          </c:dPt>
          <c:val>
            <c:numRef>
              <c:f>Proccessing!$T$1:$X$1</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A-5D26-422E-9BB7-A22D3EA41F9F}"/>
            </c:ext>
          </c:extLst>
        </c:ser>
        <c:ser>
          <c:idx val="1"/>
          <c:order val="1"/>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C-5D26-422E-9BB7-A22D3EA41F9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0E-5D26-422E-9BB7-A22D3EA41F9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0-5D26-422E-9BB7-A22D3EA41F9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2-5D26-422E-9BB7-A22D3EA41F9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4-5D26-422E-9BB7-A22D3EA41F9F}"/>
              </c:ext>
            </c:extLst>
          </c:dPt>
          <c:val>
            <c:numRef>
              <c:f>Proccessing!$T$2:$X$2</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15-5D26-422E-9BB7-A22D3EA41F9F}"/>
            </c:ext>
          </c:extLst>
        </c:ser>
        <c:ser>
          <c:idx val="2"/>
          <c:order val="2"/>
          <c:spPr>
            <a:solidFill>
              <a:srgbClr val="252A3E"/>
            </a:solidFill>
            <a:ln w="9525">
              <a:solidFill>
                <a:schemeClr val="bg1">
                  <a:lumMod val="50000"/>
                </a:schemeClr>
              </a:solidFill>
            </a:ln>
          </c:spPr>
          <c:dPt>
            <c:idx val="0"/>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7-5D26-422E-9BB7-A22D3EA41F9F}"/>
              </c:ext>
            </c:extLst>
          </c:dPt>
          <c:dPt>
            <c:idx val="1"/>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9-5D26-422E-9BB7-A22D3EA41F9F}"/>
              </c:ext>
            </c:extLst>
          </c:dPt>
          <c:dPt>
            <c:idx val="2"/>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B-5D26-422E-9BB7-A22D3EA41F9F}"/>
              </c:ext>
            </c:extLst>
          </c:dPt>
          <c:dPt>
            <c:idx val="3"/>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D-5D26-422E-9BB7-A22D3EA41F9F}"/>
              </c:ext>
            </c:extLst>
          </c:dPt>
          <c:dPt>
            <c:idx val="4"/>
            <c:bubble3D val="0"/>
            <c:spPr>
              <a:solidFill>
                <a:srgbClr val="252A3E"/>
              </a:solidFill>
              <a:ln w="9525">
                <a:solidFill>
                  <a:schemeClr val="bg1">
                    <a:lumMod val="50000"/>
                  </a:schemeClr>
                </a:solidFill>
              </a:ln>
              <a:effectLst/>
            </c:spPr>
            <c:extLst>
              <c:ext xmlns:c16="http://schemas.microsoft.com/office/drawing/2014/chart" uri="{C3380CC4-5D6E-409C-BE32-E72D297353CC}">
                <c16:uniqueId val="{0000001F-5D26-422E-9BB7-A22D3EA41F9F}"/>
              </c:ext>
            </c:extLst>
          </c:dPt>
          <c:val>
            <c:numRef>
              <c:f>Proccessing!$T$3:$X$3</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20-5D26-422E-9BB7-A22D3EA41F9F}"/>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Proccessing!$Q$1</c:f>
              <c:strCache>
                <c:ptCount val="1"/>
                <c:pt idx="0">
                  <c:v>KPI</c:v>
                </c:pt>
              </c:strCache>
            </c:strRef>
          </c:tx>
          <c:spPr>
            <a:gradFill>
              <a:gsLst>
                <a:gs pos="0">
                  <a:srgbClr val="6A47FF">
                    <a:alpha val="56000"/>
                  </a:srgbClr>
                </a:gs>
                <a:gs pos="100000">
                  <a:srgbClr val="6A47FF">
                    <a:alpha val="70000"/>
                  </a:srgbClr>
                </a:gs>
              </a:gsLst>
              <a:lin ang="5400000" scaled="1"/>
            </a:gradFill>
            <a:ln>
              <a:solidFill>
                <a:srgbClr val="9954CC"/>
              </a:solidFill>
            </a:ln>
            <a:effectLst/>
          </c:spPr>
          <c:cat>
            <c:strRef>
              <c:f>Proccessing!$P$2:$P$6</c:f>
              <c:strCache>
                <c:ptCount val="5"/>
                <c:pt idx="0">
                  <c:v>Point 1</c:v>
                </c:pt>
                <c:pt idx="1">
                  <c:v>Point 2</c:v>
                </c:pt>
                <c:pt idx="2">
                  <c:v>Point 3</c:v>
                </c:pt>
                <c:pt idx="3">
                  <c:v>Point 4</c:v>
                </c:pt>
                <c:pt idx="4">
                  <c:v>Point 5</c:v>
                </c:pt>
              </c:strCache>
            </c:strRef>
          </c:cat>
          <c:val>
            <c:numRef>
              <c:f>Proccessing!$Q$2:$Q$6</c:f>
              <c:numCache>
                <c:formatCode>General</c:formatCode>
                <c:ptCount val="5"/>
                <c:pt idx="0">
                  <c:v>422434</c:v>
                </c:pt>
                <c:pt idx="1">
                  <c:v>378765</c:v>
                </c:pt>
                <c:pt idx="2">
                  <c:v>282302</c:v>
                </c:pt>
                <c:pt idx="3">
                  <c:v>328249</c:v>
                </c:pt>
                <c:pt idx="4">
                  <c:v>422676</c:v>
                </c:pt>
              </c:numCache>
            </c:numRef>
          </c:val>
          <c:extLst>
            <c:ext xmlns:c16="http://schemas.microsoft.com/office/drawing/2014/chart" uri="{C3380CC4-5D6E-409C-BE32-E72D297353CC}">
              <c16:uniqueId val="{00000000-5FF9-4FEB-B1B9-B7F1F08D1B92}"/>
            </c:ext>
          </c:extLst>
        </c:ser>
        <c:ser>
          <c:idx val="1"/>
          <c:order val="1"/>
          <c:tx>
            <c:strRef>
              <c:f>Proccessing!$R$1</c:f>
              <c:strCache>
                <c:ptCount val="1"/>
                <c:pt idx="0">
                  <c:v>Cost</c:v>
                </c:pt>
              </c:strCache>
            </c:strRef>
          </c:tx>
          <c:spPr>
            <a:gradFill>
              <a:gsLst>
                <a:gs pos="0">
                  <a:srgbClr val="00FFFF">
                    <a:alpha val="84000"/>
                  </a:srgbClr>
                </a:gs>
                <a:gs pos="100000">
                  <a:srgbClr val="00FFFF">
                    <a:alpha val="34000"/>
                  </a:srgbClr>
                </a:gs>
              </a:gsLst>
              <a:lin ang="5400000" scaled="1"/>
            </a:gradFill>
            <a:ln>
              <a:noFill/>
            </a:ln>
            <a:effectLst/>
          </c:spPr>
          <c:cat>
            <c:strRef>
              <c:f>Proccessing!$P$2:$P$6</c:f>
              <c:strCache>
                <c:ptCount val="5"/>
                <c:pt idx="0">
                  <c:v>Point 1</c:v>
                </c:pt>
                <c:pt idx="1">
                  <c:v>Point 2</c:v>
                </c:pt>
                <c:pt idx="2">
                  <c:v>Point 3</c:v>
                </c:pt>
                <c:pt idx="3">
                  <c:v>Point 4</c:v>
                </c:pt>
                <c:pt idx="4">
                  <c:v>Point 5</c:v>
                </c:pt>
              </c:strCache>
            </c:strRef>
          </c:cat>
          <c:val>
            <c:numRef>
              <c:f>Proccessing!$R$2:$R$6</c:f>
              <c:numCache>
                <c:formatCode>General</c:formatCode>
                <c:ptCount val="5"/>
                <c:pt idx="0">
                  <c:v>380379</c:v>
                </c:pt>
                <c:pt idx="1">
                  <c:v>338012</c:v>
                </c:pt>
                <c:pt idx="2">
                  <c:v>373511</c:v>
                </c:pt>
                <c:pt idx="3">
                  <c:v>337292</c:v>
                </c:pt>
                <c:pt idx="4">
                  <c:v>366652</c:v>
                </c:pt>
              </c:numCache>
            </c:numRef>
          </c:val>
          <c:extLst>
            <c:ext xmlns:c16="http://schemas.microsoft.com/office/drawing/2014/chart" uri="{C3380CC4-5D6E-409C-BE32-E72D297353CC}">
              <c16:uniqueId val="{00000001-5FF9-4FEB-B1B9-B7F1F08D1B92}"/>
            </c:ext>
          </c:extLst>
        </c:ser>
        <c:dLbls>
          <c:showLegendKey val="0"/>
          <c:showVal val="0"/>
          <c:showCatName val="0"/>
          <c:showSerName val="0"/>
          <c:showPercent val="0"/>
          <c:showBubbleSize val="0"/>
        </c:dLbls>
        <c:axId val="417296488"/>
        <c:axId val="417302392"/>
      </c:radarChart>
      <c:catAx>
        <c:axId val="41729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302392"/>
        <c:crosses val="autoZero"/>
        <c:auto val="1"/>
        <c:lblAlgn val="ctr"/>
        <c:lblOffset val="100"/>
        <c:noMultiLvlLbl val="0"/>
      </c:catAx>
      <c:valAx>
        <c:axId val="417302392"/>
        <c:scaling>
          <c:orientation val="minMax"/>
        </c:scaling>
        <c:delete val="1"/>
        <c:axPos val="l"/>
        <c:numFmt formatCode="General" sourceLinked="1"/>
        <c:majorTickMark val="none"/>
        <c:minorTickMark val="none"/>
        <c:tickLblPos val="nextTo"/>
        <c:crossAx val="4172964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lient Structure'!B7"/><Relationship Id="rId13" Type="http://schemas.microsoft.com/office/2007/relationships/hdphoto" Target="../media/hdphoto2.wdp"/><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hyperlink" Target="#'Dashboard Dark'!B7"/></Relationships>
</file>

<file path=xl/drawings/_rels/drawing3.xml.rels><?xml version="1.0" encoding="UTF-8" standalone="yes"?>
<Relationships xmlns="http://schemas.openxmlformats.org/package/2006/relationships"><Relationship Id="rId8" Type="http://schemas.openxmlformats.org/officeDocument/2006/relationships/hyperlink" Target="#Dashboard!B7"/><Relationship Id="rId13" Type="http://schemas.microsoft.com/office/2007/relationships/hdphoto" Target="../media/hdphoto3.wdp"/><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microsoft.com/office/2007/relationships/hdphoto" Target="../media/hdphoto1.wdp"/><Relationship Id="rId5" Type="http://schemas.openxmlformats.org/officeDocument/2006/relationships/chart" Target="../charts/chart12.xml"/><Relationship Id="rId10" Type="http://schemas.openxmlformats.org/officeDocument/2006/relationships/image" Target="../media/image5.png"/><Relationship Id="rId4" Type="http://schemas.openxmlformats.org/officeDocument/2006/relationships/chart" Target="../charts/chart11.xml"/><Relationship Id="rId9" Type="http://schemas.openxmlformats.org/officeDocument/2006/relationships/hyperlink" Target="#'Client Structure Dark'!B7"/></Relationships>
</file>

<file path=xl/drawings/_rels/drawing4.xml.rels><?xml version="1.0" encoding="UTF-8" standalone="yes"?>
<Relationships xmlns="http://schemas.openxmlformats.org/package/2006/relationships"><Relationship Id="rId8" Type="http://schemas.openxmlformats.org/officeDocument/2006/relationships/hyperlink" Target="#'Client Structure Dark'!B7"/><Relationship Id="rId13" Type="http://schemas.microsoft.com/office/2007/relationships/hdphoto" Target="../media/hdphoto2.wdp"/><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image" Target="../media/image13.png"/><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hyperlink" Target="#Dashboard!B7"/><Relationship Id="rId5" Type="http://schemas.openxmlformats.org/officeDocument/2006/relationships/chart" Target="../charts/chart19.xml"/><Relationship Id="rId10" Type="http://schemas.microsoft.com/office/2007/relationships/hdphoto" Target="../media/hdphoto1.wdp"/><Relationship Id="rId4" Type="http://schemas.openxmlformats.org/officeDocument/2006/relationships/chart" Target="../charts/chart18.xml"/><Relationship Id="rId9" Type="http://schemas.openxmlformats.org/officeDocument/2006/relationships/image" Target="../media/image12.png"/></Relationships>
</file>

<file path=xl/drawings/_rels/drawing5.xml.rels><?xml version="1.0" encoding="UTF-8" standalone="yes"?>
<Relationships xmlns="http://schemas.openxmlformats.org/package/2006/relationships"><Relationship Id="rId8" Type="http://schemas.openxmlformats.org/officeDocument/2006/relationships/hyperlink" Target="#'Dashboard Dark'!B7"/><Relationship Id="rId13" Type="http://schemas.microsoft.com/office/2007/relationships/hdphoto" Target="../media/hdphoto3.wdp"/><Relationship Id="rId3" Type="http://schemas.openxmlformats.org/officeDocument/2006/relationships/chart" Target="../charts/chart24.xml"/><Relationship Id="rId7" Type="http://schemas.openxmlformats.org/officeDocument/2006/relationships/chart" Target="../charts/chart28.xml"/><Relationship Id="rId12" Type="http://schemas.openxmlformats.org/officeDocument/2006/relationships/image" Target="../media/image15.png"/><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11" Type="http://schemas.openxmlformats.org/officeDocument/2006/relationships/hyperlink" Target="#'Client Structure'!B7"/><Relationship Id="rId5" Type="http://schemas.openxmlformats.org/officeDocument/2006/relationships/chart" Target="../charts/chart26.xml"/><Relationship Id="rId10" Type="http://schemas.microsoft.com/office/2007/relationships/hdphoto" Target="../media/hdphoto1.wdp"/><Relationship Id="rId4" Type="http://schemas.openxmlformats.org/officeDocument/2006/relationships/chart" Target="../charts/chart25.xml"/><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104774</xdr:rowOff>
    </xdr:from>
    <xdr:to>
      <xdr:col>13</xdr:col>
      <xdr:colOff>304800</xdr:colOff>
      <xdr:row>53</xdr:row>
      <xdr:rowOff>142874</xdr:rowOff>
    </xdr:to>
    <xdr:sp macro="" textlink="">
      <xdr:nvSpPr>
        <xdr:cNvPr id="2" name="Oval 1"/>
        <xdr:cNvSpPr/>
      </xdr:nvSpPr>
      <xdr:spPr>
        <a:xfrm>
          <a:off x="0" y="2009774"/>
          <a:ext cx="8229600" cy="8229600"/>
        </a:xfrm>
        <a:prstGeom prst="ellipse">
          <a:avLst/>
        </a:prstGeom>
        <a:gradFill flip="none" rotWithShape="1">
          <a:gsLst>
            <a:gs pos="0">
              <a:srgbClr val="D6F5D3"/>
            </a:gs>
            <a:gs pos="100000">
              <a:srgbClr val="66D98E"/>
            </a:gs>
          </a:gsLst>
          <a:path path="circle">
            <a:fillToRect l="100000" b="100000"/>
          </a:path>
          <a:tileRect t="-100000" r="-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184944</xdr:colOff>
      <xdr:row>3</xdr:row>
      <xdr:rowOff>57943</xdr:rowOff>
    </xdr:from>
    <xdr:to>
      <xdr:col>29</xdr:col>
      <xdr:colOff>489744</xdr:colOff>
      <xdr:row>36</xdr:row>
      <xdr:rowOff>172243</xdr:rowOff>
    </xdr:to>
    <xdr:sp macro="" textlink="">
      <xdr:nvSpPr>
        <xdr:cNvPr id="3" name="Oval 2"/>
        <xdr:cNvSpPr/>
      </xdr:nvSpPr>
      <xdr:spPr>
        <a:xfrm>
          <a:off x="11646694" y="629443"/>
          <a:ext cx="6337300" cy="6400800"/>
        </a:xfrm>
        <a:prstGeom prst="ellipse">
          <a:avLst/>
        </a:prstGeom>
        <a:gradFill>
          <a:gsLst>
            <a:gs pos="0">
              <a:srgbClr val="E1D9FF"/>
            </a:gs>
            <a:gs pos="100000">
              <a:srgbClr val="A893FF"/>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121443</xdr:colOff>
      <xdr:row>9</xdr:row>
      <xdr:rowOff>26193</xdr:rowOff>
    </xdr:from>
    <xdr:to>
      <xdr:col>23</xdr:col>
      <xdr:colOff>288607</xdr:colOff>
      <xdr:row>45</xdr:row>
      <xdr:rowOff>26193</xdr:rowOff>
    </xdr:to>
    <xdr:sp macro="" textlink="">
      <xdr:nvSpPr>
        <xdr:cNvPr id="4" name="Rounded Rectangle 3"/>
        <xdr:cNvSpPr/>
      </xdr:nvSpPr>
      <xdr:spPr>
        <a:xfrm>
          <a:off x="2576776" y="1740693"/>
          <a:ext cx="11829998" cy="6858000"/>
        </a:xfrm>
        <a:prstGeom prst="roundRect">
          <a:avLst>
            <a:gd name="adj" fmla="val 2605"/>
          </a:avLst>
        </a:prstGeom>
        <a:solidFill>
          <a:schemeClr val="bg1">
            <a:alpha val="4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435768</xdr:colOff>
      <xdr:row>13</xdr:row>
      <xdr:rowOff>105568</xdr:rowOff>
    </xdr:from>
    <xdr:to>
      <xdr:col>16</xdr:col>
      <xdr:colOff>54768</xdr:colOff>
      <xdr:row>30</xdr:row>
      <xdr:rowOff>158908</xdr:rowOff>
    </xdr:to>
    <xdr:sp macro="" textlink="">
      <xdr:nvSpPr>
        <xdr:cNvPr id="5" name="Rounded Rectangle 4"/>
        <xdr:cNvSpPr/>
      </xdr:nvSpPr>
      <xdr:spPr>
        <a:xfrm>
          <a:off x="2848768" y="2582068"/>
          <a:ext cx="6858000" cy="32918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13493</xdr:colOff>
      <xdr:row>13</xdr:row>
      <xdr:rowOff>105568</xdr:rowOff>
    </xdr:from>
    <xdr:to>
      <xdr:col>22</xdr:col>
      <xdr:colOff>471963</xdr:colOff>
      <xdr:row>25</xdr:row>
      <xdr:rowOff>105568</xdr:rowOff>
    </xdr:to>
    <xdr:sp macro="" textlink="">
      <xdr:nvSpPr>
        <xdr:cNvPr id="6" name="Rounded Rectangle 5"/>
        <xdr:cNvSpPr/>
      </xdr:nvSpPr>
      <xdr:spPr>
        <a:xfrm>
          <a:off x="10268743" y="2582068"/>
          <a:ext cx="3474720" cy="228600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41949</xdr:colOff>
      <xdr:row>27</xdr:row>
      <xdr:rowOff>45243</xdr:rowOff>
    </xdr:from>
    <xdr:to>
      <xdr:col>22</xdr:col>
      <xdr:colOff>500419</xdr:colOff>
      <xdr:row>42</xdr:row>
      <xdr:rowOff>113823</xdr:rowOff>
    </xdr:to>
    <xdr:sp macro="" textlink="">
      <xdr:nvSpPr>
        <xdr:cNvPr id="7" name="Rounded Rectangle 6"/>
        <xdr:cNvSpPr/>
      </xdr:nvSpPr>
      <xdr:spPr>
        <a:xfrm>
          <a:off x="10328949" y="5188743"/>
          <a:ext cx="3484058" cy="292608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521493</xdr:colOff>
      <xdr:row>32</xdr:row>
      <xdr:rowOff>73580</xdr:rowOff>
    </xdr:from>
    <xdr:to>
      <xdr:col>8</xdr:col>
      <xdr:colOff>165893</xdr:colOff>
      <xdr:row>42</xdr:row>
      <xdr:rowOff>88820</xdr:rowOff>
    </xdr:to>
    <xdr:sp macro="" textlink="">
      <xdr:nvSpPr>
        <xdr:cNvPr id="8" name="Rounded Rectangle 7"/>
        <xdr:cNvSpPr/>
      </xdr:nvSpPr>
      <xdr:spPr>
        <a:xfrm>
          <a:off x="2950368" y="6169580"/>
          <a:ext cx="2073275"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447041</xdr:colOff>
      <xdr:row>32</xdr:row>
      <xdr:rowOff>67150</xdr:rowOff>
    </xdr:from>
    <xdr:to>
      <xdr:col>12</xdr:col>
      <xdr:colOff>91441</xdr:colOff>
      <xdr:row>42</xdr:row>
      <xdr:rowOff>82390</xdr:rowOff>
    </xdr:to>
    <xdr:sp macro="" textlink="">
      <xdr:nvSpPr>
        <xdr:cNvPr id="9" name="Rounded Rectangle 8"/>
        <xdr:cNvSpPr/>
      </xdr:nvSpPr>
      <xdr:spPr>
        <a:xfrm>
          <a:off x="5304791" y="6163150"/>
          <a:ext cx="2073275"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410368</xdr:colOff>
      <xdr:row>32</xdr:row>
      <xdr:rowOff>67150</xdr:rowOff>
    </xdr:from>
    <xdr:to>
      <xdr:col>16</xdr:col>
      <xdr:colOff>54768</xdr:colOff>
      <xdr:row>42</xdr:row>
      <xdr:rowOff>82390</xdr:rowOff>
    </xdr:to>
    <xdr:sp macro="" textlink="">
      <xdr:nvSpPr>
        <xdr:cNvPr id="10" name="Rounded Rectangle 9"/>
        <xdr:cNvSpPr/>
      </xdr:nvSpPr>
      <xdr:spPr>
        <a:xfrm>
          <a:off x="7649368" y="6163150"/>
          <a:ext cx="2057400"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471652</xdr:colOff>
      <xdr:row>15</xdr:row>
      <xdr:rowOff>15874</xdr:rowOff>
    </xdr:from>
    <xdr:to>
      <xdr:col>16</xdr:col>
      <xdr:colOff>1</xdr:colOff>
      <xdr:row>29</xdr:row>
      <xdr:rowOff>110029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272940</xdr:colOff>
      <xdr:row>27</xdr:row>
      <xdr:rowOff>157984</xdr:rowOff>
    </xdr:from>
    <xdr:to>
      <xdr:col>15</xdr:col>
      <xdr:colOff>476250</xdr:colOff>
      <xdr:row>30</xdr:row>
      <xdr:rowOff>24633</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89190" y="5301484"/>
              <a:ext cx="6235810"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478633</xdr:colOff>
      <xdr:row>10</xdr:row>
      <xdr:rowOff>38100</xdr:rowOff>
    </xdr:from>
    <xdr:to>
      <xdr:col>18</xdr:col>
      <xdr:colOff>209550</xdr:colOff>
      <xdr:row>12</xdr:row>
      <xdr:rowOff>165099</xdr:rowOff>
    </xdr:to>
    <mc:AlternateContent xmlns:mc="http://schemas.openxmlformats.org/markup-compatibility/2006" xmlns:a14="http://schemas.microsoft.com/office/drawing/2010/main">
      <mc:Choice Requires="a14">
        <xdr:graphicFrame macro="">
          <xdr:nvGraphicFramePr>
            <xdr:cNvPr id="1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13033" y="1943100"/>
              <a:ext cx="2169317" cy="50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428624</xdr:colOff>
      <xdr:row>14</xdr:row>
      <xdr:rowOff>9525</xdr:rowOff>
    </xdr:from>
    <xdr:to>
      <xdr:col>8</xdr:col>
      <xdr:colOff>337038</xdr:colOff>
      <xdr:row>15</xdr:row>
      <xdr:rowOff>95250</xdr:rowOff>
    </xdr:to>
    <xdr:sp macro="" textlink="Proccessing!A1">
      <xdr:nvSpPr>
        <xdr:cNvPr id="14" name="TextBox 13"/>
        <xdr:cNvSpPr txBox="1"/>
      </xdr:nvSpPr>
      <xdr:spPr>
        <a:xfrm>
          <a:off x="3464718" y="2676525"/>
          <a:ext cx="173007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F6FE26-6A67-4D89-83EE-6C993C6D0365}" type="TxLink">
            <a:rPr lang="en-US" sz="1400" b="1" i="0" u="none" strike="noStrike">
              <a:solidFill>
                <a:srgbClr val="000000"/>
              </a:solidFill>
              <a:latin typeface="Aptos Narrow"/>
              <a:cs typeface="Calibri"/>
            </a:rPr>
            <a:pPr/>
            <a:t>Customer Activity</a:t>
          </a:fld>
          <a:endParaRPr lang="en-US" sz="1400" b="1">
            <a:latin typeface="Aptos Narrow"/>
          </a:endParaRPr>
        </a:p>
      </xdr:txBody>
    </xdr:sp>
    <xdr:clientData/>
  </xdr:twoCellAnchor>
  <xdr:twoCellAnchor>
    <xdr:from>
      <xdr:col>8</xdr:col>
      <xdr:colOff>556847</xdr:colOff>
      <xdr:row>13</xdr:row>
      <xdr:rowOff>188511</xdr:rowOff>
    </xdr:from>
    <xdr:to>
      <xdr:col>11</xdr:col>
      <xdr:colOff>10259</xdr:colOff>
      <xdr:row>15</xdr:row>
      <xdr:rowOff>83736</xdr:rowOff>
    </xdr:to>
    <xdr:sp macro="" textlink="Proccessing!B1">
      <xdr:nvSpPr>
        <xdr:cNvPr id="15" name="TextBox 14"/>
        <xdr:cNvSpPr txBox="1"/>
      </xdr:nvSpPr>
      <xdr:spPr>
        <a:xfrm>
          <a:off x="5421924" y="2665011"/>
          <a:ext cx="127781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965960-9042-401C-A624-A979D1B93D5C}" type="TxLink">
            <a:rPr lang="en-US" sz="1400" b="1" i="0" u="none" strike="noStrike">
              <a:solidFill>
                <a:schemeClr val="tx1"/>
              </a:solidFill>
              <a:latin typeface="Aptos Narrow"/>
              <a:cs typeface="Calibri"/>
            </a:rPr>
            <a:pPr/>
            <a:t>Active Client Count</a:t>
          </a:fld>
          <a:endParaRPr lang="en-US" sz="1800" b="1">
            <a:solidFill>
              <a:schemeClr val="tx1"/>
            </a:solidFill>
            <a:latin typeface="Aptos Narrow"/>
          </a:endParaRPr>
        </a:p>
      </xdr:txBody>
    </xdr:sp>
    <xdr:clientData/>
  </xdr:twoCellAnchor>
  <xdr:twoCellAnchor>
    <xdr:from>
      <xdr:col>12</xdr:col>
      <xdr:colOff>255814</xdr:colOff>
      <xdr:row>13</xdr:row>
      <xdr:rowOff>163116</xdr:rowOff>
    </xdr:from>
    <xdr:to>
      <xdr:col>14</xdr:col>
      <xdr:colOff>593479</xdr:colOff>
      <xdr:row>15</xdr:row>
      <xdr:rowOff>58341</xdr:rowOff>
    </xdr:to>
    <xdr:sp macro="" textlink="Proccessing!C1">
      <xdr:nvSpPr>
        <xdr:cNvPr id="16" name="TextBox 15"/>
        <xdr:cNvSpPr txBox="1"/>
      </xdr:nvSpPr>
      <xdr:spPr>
        <a:xfrm>
          <a:off x="7553429" y="2639616"/>
          <a:ext cx="15539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E39CB-B774-43D7-BFA5-21E83B1DAD95}" type="TxLink">
            <a:rPr lang="en-US" sz="1400" b="1" i="0" u="none" strike="noStrike">
              <a:solidFill>
                <a:schemeClr val="tx1"/>
              </a:solidFill>
              <a:latin typeface="Aptos Narrow"/>
              <a:cs typeface="Calibri"/>
            </a:rPr>
            <a:pPr/>
            <a:t>Average Client Count</a:t>
          </a:fld>
          <a:endParaRPr lang="en-US" sz="2400" b="1">
            <a:solidFill>
              <a:schemeClr val="tx1"/>
            </a:solidFill>
            <a:latin typeface="Aptos Narrow"/>
          </a:endParaRPr>
        </a:p>
      </xdr:txBody>
    </xdr:sp>
    <xdr:clientData/>
  </xdr:twoCellAnchor>
  <xdr:twoCellAnchor>
    <xdr:from>
      <xdr:col>10</xdr:col>
      <xdr:colOff>589085</xdr:colOff>
      <xdr:row>14</xdr:row>
      <xdr:rowOff>25854</xdr:rowOff>
    </xdr:from>
    <xdr:to>
      <xdr:col>12</xdr:col>
      <xdr:colOff>58615</xdr:colOff>
      <xdr:row>15</xdr:row>
      <xdr:rowOff>51290</xdr:rowOff>
    </xdr:to>
    <xdr:sp macro="" textlink="Proccessing!D14">
      <xdr:nvSpPr>
        <xdr:cNvPr id="17" name="TextBox 16"/>
        <xdr:cNvSpPr txBox="1"/>
      </xdr:nvSpPr>
      <xdr:spPr>
        <a:xfrm>
          <a:off x="6670431" y="2692854"/>
          <a:ext cx="685799"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A90424-79D1-4759-B607-D0B1B9F7AEAE}" type="TxLink">
            <a:rPr lang="en-US" sz="1400" b="1" i="0" u="none" strike="noStrike">
              <a:solidFill>
                <a:srgbClr val="51F52B"/>
              </a:solidFill>
              <a:latin typeface="Aptos Narrow"/>
              <a:cs typeface="Calibri"/>
            </a:rPr>
            <a:pPr/>
            <a:t>9952</a:t>
          </a:fld>
          <a:endParaRPr lang="en-US" sz="2400" b="1">
            <a:solidFill>
              <a:srgbClr val="51F52B"/>
            </a:solidFill>
            <a:latin typeface="Aptos Narrow"/>
          </a:endParaRPr>
        </a:p>
      </xdr:txBody>
    </xdr:sp>
    <xdr:clientData/>
  </xdr:twoCellAnchor>
  <xdr:twoCellAnchor>
    <xdr:from>
      <xdr:col>14</xdr:col>
      <xdr:colOff>455734</xdr:colOff>
      <xdr:row>14</xdr:row>
      <xdr:rowOff>9735</xdr:rowOff>
    </xdr:from>
    <xdr:to>
      <xdr:col>15</xdr:col>
      <xdr:colOff>556846</xdr:colOff>
      <xdr:row>15</xdr:row>
      <xdr:rowOff>35171</xdr:rowOff>
    </xdr:to>
    <xdr:sp macro="" textlink="Proccessing!E14">
      <xdr:nvSpPr>
        <xdr:cNvPr id="18" name="TextBox 17"/>
        <xdr:cNvSpPr txBox="1"/>
      </xdr:nvSpPr>
      <xdr:spPr>
        <a:xfrm>
          <a:off x="8969619" y="2676735"/>
          <a:ext cx="709246"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E7007A-CB5A-41E0-B41B-C405BBDAA3C3}" type="TxLink">
            <a:rPr lang="en-US" sz="1400" b="1" i="0" u="none" strike="noStrike">
              <a:solidFill>
                <a:srgbClr val="9F5FCF"/>
              </a:solidFill>
              <a:latin typeface="Aptos Narrow"/>
              <a:cs typeface="Calibri"/>
            </a:rPr>
            <a:pPr/>
            <a:t>9613</a:t>
          </a:fld>
          <a:endParaRPr lang="en-US" sz="3200" b="1">
            <a:solidFill>
              <a:srgbClr val="9F5FCF"/>
            </a:solidFill>
            <a:latin typeface="Aptos Narrow"/>
          </a:endParaRPr>
        </a:p>
      </xdr:txBody>
    </xdr:sp>
    <xdr:clientData/>
  </xdr:twoCellAnchor>
  <xdr:twoCellAnchor>
    <xdr:from>
      <xdr:col>17</xdr:col>
      <xdr:colOff>23812</xdr:colOff>
      <xdr:row>13</xdr:row>
      <xdr:rowOff>178594</xdr:rowOff>
    </xdr:from>
    <xdr:to>
      <xdr:col>22</xdr:col>
      <xdr:colOff>452437</xdr:colOff>
      <xdr:row>25</xdr:row>
      <xdr:rowOff>47625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64399</xdr:colOff>
      <xdr:row>14</xdr:row>
      <xdr:rowOff>55960</xdr:rowOff>
    </xdr:from>
    <xdr:to>
      <xdr:col>18</xdr:col>
      <xdr:colOff>392906</xdr:colOff>
      <xdr:row>15</xdr:row>
      <xdr:rowOff>166688</xdr:rowOff>
    </xdr:to>
    <xdr:sp macro="" textlink="Proccessing!G1">
      <xdr:nvSpPr>
        <xdr:cNvPr id="20" name="TextBox 19"/>
        <xdr:cNvSpPr txBox="1"/>
      </xdr:nvSpPr>
      <xdr:spPr>
        <a:xfrm>
          <a:off x="10387118" y="2722960"/>
          <a:ext cx="935726"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3EDA06-C0A7-41F4-BCE7-F328F5504186}" type="TxLink">
            <a:rPr lang="en-US" sz="1100" b="0" i="0" u="none" strike="noStrike">
              <a:solidFill>
                <a:schemeClr val="tx1"/>
              </a:solidFill>
              <a:latin typeface="Aptos Narrow"/>
              <a:cs typeface="Calibri"/>
            </a:rPr>
            <a:pPr/>
            <a:t>New Clients</a:t>
          </a:fld>
          <a:endParaRPr lang="en-US" sz="2400" b="0">
            <a:solidFill>
              <a:schemeClr val="tx1"/>
            </a:solidFill>
            <a:latin typeface="Aptos Narrow"/>
          </a:endParaRPr>
        </a:p>
      </xdr:txBody>
    </xdr:sp>
    <xdr:clientData/>
  </xdr:twoCellAnchor>
  <xdr:twoCellAnchor>
    <xdr:from>
      <xdr:col>19</xdr:col>
      <xdr:colOff>564467</xdr:colOff>
      <xdr:row>14</xdr:row>
      <xdr:rowOff>79773</xdr:rowOff>
    </xdr:from>
    <xdr:to>
      <xdr:col>21</xdr:col>
      <xdr:colOff>392910</xdr:colOff>
      <xdr:row>16</xdr:row>
      <xdr:rowOff>0</xdr:rowOff>
    </xdr:to>
    <xdr:sp macro="" textlink="Proccessing!H1">
      <xdr:nvSpPr>
        <xdr:cNvPr id="21" name="TextBox 20"/>
        <xdr:cNvSpPr txBox="1"/>
      </xdr:nvSpPr>
      <xdr:spPr>
        <a:xfrm>
          <a:off x="12101623" y="2746773"/>
          <a:ext cx="1042881"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36B557-54DE-431E-91F2-67534FA81EF4}" type="TxLink">
            <a:rPr lang="en-US" sz="1100" b="0" i="0" u="none" strike="noStrike">
              <a:solidFill>
                <a:schemeClr val="tx1"/>
              </a:solidFill>
              <a:latin typeface="Calibri"/>
              <a:cs typeface="Calibri"/>
            </a:rPr>
            <a:pPr/>
            <a:t>Regular Clients</a:t>
          </a:fld>
          <a:endParaRPr lang="en-US" sz="2400" b="0">
            <a:solidFill>
              <a:schemeClr val="tx1"/>
            </a:solidFill>
            <a:latin typeface="Aptos Narrow"/>
          </a:endParaRPr>
        </a:p>
      </xdr:txBody>
    </xdr:sp>
    <xdr:clientData/>
  </xdr:twoCellAnchor>
  <xdr:twoCellAnchor>
    <xdr:from>
      <xdr:col>18</xdr:col>
      <xdr:colOff>362056</xdr:colOff>
      <xdr:row>14</xdr:row>
      <xdr:rowOff>55960</xdr:rowOff>
    </xdr:from>
    <xdr:to>
      <xdr:col>19</xdr:col>
      <xdr:colOff>416719</xdr:colOff>
      <xdr:row>15</xdr:row>
      <xdr:rowOff>166688</xdr:rowOff>
    </xdr:to>
    <xdr:sp macro="" textlink="Proccessing!K14">
      <xdr:nvSpPr>
        <xdr:cNvPr id="22" name="TextBox 21"/>
        <xdr:cNvSpPr txBox="1"/>
      </xdr:nvSpPr>
      <xdr:spPr>
        <a:xfrm>
          <a:off x="11291994" y="2722960"/>
          <a:ext cx="661881"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1D93B16-2832-4F33-8C42-A54069A6B30D}" type="TxLink">
            <a:rPr lang="en-US" sz="1100" b="0" i="0" u="none" strike="noStrike">
              <a:solidFill>
                <a:srgbClr val="51F52B"/>
              </a:solidFill>
              <a:latin typeface="Calibri"/>
              <a:cs typeface="Calibri"/>
            </a:rPr>
            <a:pPr/>
            <a:t>9488</a:t>
          </a:fld>
          <a:endParaRPr lang="en-US" sz="2400" b="0">
            <a:solidFill>
              <a:srgbClr val="51F52B"/>
            </a:solidFill>
            <a:latin typeface="Aptos Narrow"/>
          </a:endParaRPr>
        </a:p>
      </xdr:txBody>
    </xdr:sp>
    <xdr:clientData/>
  </xdr:twoCellAnchor>
  <xdr:twoCellAnchor>
    <xdr:from>
      <xdr:col>21</xdr:col>
      <xdr:colOff>421590</xdr:colOff>
      <xdr:row>14</xdr:row>
      <xdr:rowOff>79773</xdr:rowOff>
    </xdr:from>
    <xdr:to>
      <xdr:col>22</xdr:col>
      <xdr:colOff>464345</xdr:colOff>
      <xdr:row>16</xdr:row>
      <xdr:rowOff>0</xdr:rowOff>
    </xdr:to>
    <xdr:sp macro="" textlink="Proccessing!L14">
      <xdr:nvSpPr>
        <xdr:cNvPr id="24" name="TextBox 23"/>
        <xdr:cNvSpPr txBox="1"/>
      </xdr:nvSpPr>
      <xdr:spPr>
        <a:xfrm>
          <a:off x="13173184" y="2746773"/>
          <a:ext cx="649974"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656BC0-B3ED-405C-A758-9A68B8EFA30B}" type="TxLink">
            <a:rPr lang="en-US" sz="1100" b="0" i="0" u="none" strike="noStrike">
              <a:solidFill>
                <a:srgbClr val="8439BD"/>
              </a:solidFill>
              <a:latin typeface="Calibri"/>
              <a:cs typeface="Calibri"/>
            </a:rPr>
            <a:pPr/>
            <a:t>8790</a:t>
          </a:fld>
          <a:endParaRPr lang="en-US" sz="2400" b="0">
            <a:solidFill>
              <a:srgbClr val="8439BD"/>
            </a:solidFill>
            <a:latin typeface="Aptos Narrow"/>
          </a:endParaRPr>
        </a:p>
      </xdr:txBody>
    </xdr:sp>
    <xdr:clientData/>
  </xdr:twoCellAnchor>
  <xdr:twoCellAnchor>
    <xdr:from>
      <xdr:col>4</xdr:col>
      <xdr:colOff>535781</xdr:colOff>
      <xdr:row>32</xdr:row>
      <xdr:rowOff>118109</xdr:rowOff>
    </xdr:from>
    <xdr:to>
      <xdr:col>8</xdr:col>
      <xdr:colOff>154306</xdr:colOff>
      <xdr:row>42</xdr:row>
      <xdr:rowOff>82390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457993</xdr:colOff>
      <xdr:row>32</xdr:row>
      <xdr:rowOff>102870</xdr:rowOff>
    </xdr:from>
    <xdr:to>
      <xdr:col>12</xdr:col>
      <xdr:colOff>76518</xdr:colOff>
      <xdr:row>42</xdr:row>
      <xdr:rowOff>67151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384176</xdr:colOff>
      <xdr:row>32</xdr:row>
      <xdr:rowOff>118109</xdr:rowOff>
    </xdr:from>
    <xdr:to>
      <xdr:col>16</xdr:col>
      <xdr:colOff>2701</xdr:colOff>
      <xdr:row>42</xdr:row>
      <xdr:rowOff>82390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464344</xdr:colOff>
      <xdr:row>37</xdr:row>
      <xdr:rowOff>104777</xdr:rowOff>
    </xdr:from>
    <xdr:to>
      <xdr:col>7</xdr:col>
      <xdr:colOff>214312</xdr:colOff>
      <xdr:row>39</xdr:row>
      <xdr:rowOff>47627</xdr:rowOff>
    </xdr:to>
    <xdr:sp macro="" textlink="Proccessing!Q11">
      <xdr:nvSpPr>
        <xdr:cNvPr id="28" name="TextBox 27"/>
        <xdr:cNvSpPr txBox="1"/>
      </xdr:nvSpPr>
      <xdr:spPr>
        <a:xfrm>
          <a:off x="3500438" y="7153277"/>
          <a:ext cx="96440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EDA9CF-AA5D-41BC-AA7C-FC4A74CAC6E2}" type="TxLink">
            <a:rPr lang="en-US" sz="2000" b="0" i="0" u="none" strike="noStrike">
              <a:solidFill>
                <a:srgbClr val="51F52B"/>
              </a:solidFill>
              <a:latin typeface="Calibri"/>
              <a:cs typeface="Calibri"/>
            </a:rPr>
            <a:pPr algn="ctr"/>
            <a:t>58%</a:t>
          </a:fld>
          <a:endParaRPr lang="en-US" sz="2000" b="1">
            <a:solidFill>
              <a:srgbClr val="51F52B"/>
            </a:solidFill>
            <a:latin typeface="Aptos Narrow"/>
          </a:endParaRPr>
        </a:p>
      </xdr:txBody>
    </xdr:sp>
    <xdr:clientData/>
  </xdr:twoCellAnchor>
  <xdr:twoCellAnchor>
    <xdr:from>
      <xdr:col>9</xdr:col>
      <xdr:colOff>408385</xdr:colOff>
      <xdr:row>37</xdr:row>
      <xdr:rowOff>66678</xdr:rowOff>
    </xdr:from>
    <xdr:to>
      <xdr:col>11</xdr:col>
      <xdr:colOff>113109</xdr:colOff>
      <xdr:row>39</xdr:row>
      <xdr:rowOff>2918</xdr:rowOff>
    </xdr:to>
    <xdr:sp macro="" textlink="Proccessing!Q12">
      <xdr:nvSpPr>
        <xdr:cNvPr id="29" name="TextBox 28"/>
        <xdr:cNvSpPr txBox="1"/>
      </xdr:nvSpPr>
      <xdr:spPr>
        <a:xfrm>
          <a:off x="5873354" y="7115178"/>
          <a:ext cx="919161" cy="31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D77A2-37E4-4D05-97DE-65C60EC2967E}" type="TxLink">
            <a:rPr lang="en-US" sz="2000" b="0" i="0" u="none" strike="noStrike">
              <a:solidFill>
                <a:srgbClr val="8439BD"/>
              </a:solidFill>
              <a:latin typeface="Calibri"/>
              <a:cs typeface="Calibri"/>
            </a:rPr>
            <a:pPr algn="ctr"/>
            <a:t>60%</a:t>
          </a:fld>
          <a:endParaRPr lang="en-US" sz="2000" b="1">
            <a:solidFill>
              <a:srgbClr val="8439BD"/>
            </a:solidFill>
            <a:latin typeface="Aptos Narrow"/>
          </a:endParaRPr>
        </a:p>
      </xdr:txBody>
    </xdr:sp>
    <xdr:clientData/>
  </xdr:twoCellAnchor>
  <xdr:twoCellAnchor>
    <xdr:from>
      <xdr:col>13</xdr:col>
      <xdr:colOff>378619</xdr:colOff>
      <xdr:row>37</xdr:row>
      <xdr:rowOff>102397</xdr:rowOff>
    </xdr:from>
    <xdr:to>
      <xdr:col>15</xdr:col>
      <xdr:colOff>47625</xdr:colOff>
      <xdr:row>39</xdr:row>
      <xdr:rowOff>35720</xdr:rowOff>
    </xdr:to>
    <xdr:sp macro="" textlink="Proccessing!Q13">
      <xdr:nvSpPr>
        <xdr:cNvPr id="30" name="TextBox 29"/>
        <xdr:cNvSpPr txBox="1"/>
      </xdr:nvSpPr>
      <xdr:spPr>
        <a:xfrm>
          <a:off x="8272463" y="7150897"/>
          <a:ext cx="883443" cy="314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ABF5F-8A2A-4448-A36A-BC1DD0DEDB9C}" type="TxLink">
            <a:rPr lang="en-US" sz="2000" b="0" i="0" u="none" strike="noStrike">
              <a:solidFill>
                <a:srgbClr val="65A5CD"/>
              </a:solidFill>
              <a:latin typeface="Calibri"/>
              <a:cs typeface="Calibri"/>
            </a:rPr>
            <a:pPr algn="ctr"/>
            <a:t>62%</a:t>
          </a:fld>
          <a:endParaRPr lang="en-US" sz="2000" b="1">
            <a:solidFill>
              <a:srgbClr val="65A5CD"/>
            </a:solidFill>
            <a:latin typeface="Aptos Narrow"/>
          </a:endParaRPr>
        </a:p>
      </xdr:txBody>
    </xdr:sp>
    <xdr:clientData/>
  </xdr:twoCellAnchor>
  <xdr:twoCellAnchor>
    <xdr:from>
      <xdr:col>5</xdr:col>
      <xdr:colOff>464344</xdr:colOff>
      <xdr:row>35</xdr:row>
      <xdr:rowOff>45244</xdr:rowOff>
    </xdr:from>
    <xdr:to>
      <xdr:col>7</xdr:col>
      <xdr:colOff>226805</xdr:colOff>
      <xdr:row>37</xdr:row>
      <xdr:rowOff>94506</xdr:rowOff>
    </xdr:to>
    <xdr:sp macro="" textlink="">
      <xdr:nvSpPr>
        <xdr:cNvPr id="31" name="TextBox 30"/>
        <xdr:cNvSpPr txBox="1"/>
      </xdr:nvSpPr>
      <xdr:spPr>
        <a:xfrm>
          <a:off x="3500438" y="6712744"/>
          <a:ext cx="976898" cy="4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C</a:t>
          </a:r>
        </a:p>
      </xdr:txBody>
    </xdr:sp>
    <xdr:clientData/>
  </xdr:twoCellAnchor>
  <xdr:twoCellAnchor>
    <xdr:from>
      <xdr:col>9</xdr:col>
      <xdr:colOff>408385</xdr:colOff>
      <xdr:row>35</xdr:row>
      <xdr:rowOff>19051</xdr:rowOff>
    </xdr:from>
    <xdr:to>
      <xdr:col>11</xdr:col>
      <xdr:colOff>125016</xdr:colOff>
      <xdr:row>37</xdr:row>
      <xdr:rowOff>59531</xdr:rowOff>
    </xdr:to>
    <xdr:sp macro="" textlink="">
      <xdr:nvSpPr>
        <xdr:cNvPr id="32" name="TextBox 31"/>
        <xdr:cNvSpPr txBox="1"/>
      </xdr:nvSpPr>
      <xdr:spPr>
        <a:xfrm>
          <a:off x="5873354" y="6686551"/>
          <a:ext cx="931068"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R</a:t>
          </a:r>
        </a:p>
      </xdr:txBody>
    </xdr:sp>
    <xdr:clientData/>
  </xdr:twoCellAnchor>
  <xdr:twoCellAnchor>
    <xdr:from>
      <xdr:col>13</xdr:col>
      <xdr:colOff>342901</xdr:colOff>
      <xdr:row>35</xdr:row>
      <xdr:rowOff>42864</xdr:rowOff>
    </xdr:from>
    <xdr:to>
      <xdr:col>15</xdr:col>
      <xdr:colOff>59532</xdr:colOff>
      <xdr:row>37</xdr:row>
      <xdr:rowOff>83344</xdr:rowOff>
    </xdr:to>
    <xdr:sp macro="" textlink="">
      <xdr:nvSpPr>
        <xdr:cNvPr id="33" name="TextBox 32"/>
        <xdr:cNvSpPr txBox="1"/>
      </xdr:nvSpPr>
      <xdr:spPr>
        <a:xfrm>
          <a:off x="8236745" y="6710364"/>
          <a:ext cx="931068"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M</a:t>
          </a:r>
        </a:p>
      </xdr:txBody>
    </xdr:sp>
    <xdr:clientData/>
  </xdr:twoCellAnchor>
  <xdr:twoCellAnchor>
    <xdr:from>
      <xdr:col>5</xdr:col>
      <xdr:colOff>416720</xdr:colOff>
      <xdr:row>38</xdr:row>
      <xdr:rowOff>92872</xdr:rowOff>
    </xdr:from>
    <xdr:to>
      <xdr:col>7</xdr:col>
      <xdr:colOff>270668</xdr:colOff>
      <xdr:row>40</xdr:row>
      <xdr:rowOff>84790</xdr:rowOff>
    </xdr:to>
    <xdr:sp macro="" textlink="Proccessing!P11">
      <xdr:nvSpPr>
        <xdr:cNvPr id="34" name="TextBox 33"/>
        <xdr:cNvSpPr txBox="1"/>
      </xdr:nvSpPr>
      <xdr:spPr>
        <a:xfrm>
          <a:off x="3452814" y="7331872"/>
          <a:ext cx="1068385" cy="372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33CAC-2C6C-4DD5-B867-AFD6493121BB}" type="TxLink">
            <a:rPr lang="en-US" sz="1100" b="1" i="0" u="none" strike="noStrike">
              <a:solidFill>
                <a:schemeClr val="tx1"/>
              </a:solidFill>
              <a:latin typeface="Calibri"/>
              <a:cs typeface="Calibri"/>
            </a:rPr>
            <a:pPr algn="ctr"/>
            <a:t>Customer</a:t>
          </a:fld>
          <a:endParaRPr lang="en-US" sz="2000" b="1">
            <a:solidFill>
              <a:schemeClr val="tx1"/>
            </a:solidFill>
            <a:latin typeface="Aptos Narrow"/>
          </a:endParaRPr>
        </a:p>
      </xdr:txBody>
    </xdr:sp>
    <xdr:clientData/>
  </xdr:twoCellAnchor>
  <xdr:twoCellAnchor>
    <xdr:from>
      <xdr:col>9</xdr:col>
      <xdr:colOff>360761</xdr:colOff>
      <xdr:row>38</xdr:row>
      <xdr:rowOff>54772</xdr:rowOff>
    </xdr:from>
    <xdr:to>
      <xdr:col>11</xdr:col>
      <xdr:colOff>164587</xdr:colOff>
      <xdr:row>40</xdr:row>
      <xdr:rowOff>39079</xdr:rowOff>
    </xdr:to>
    <xdr:sp macro="" textlink="Proccessing!P12">
      <xdr:nvSpPr>
        <xdr:cNvPr id="35" name="TextBox 34"/>
        <xdr:cNvSpPr txBox="1"/>
      </xdr:nvSpPr>
      <xdr:spPr>
        <a:xfrm>
          <a:off x="5825730" y="7293772"/>
          <a:ext cx="1018263" cy="365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B5AAF-95EF-4419-88CB-135D568731B3}" type="TxLink">
            <a:rPr lang="en-US" sz="1100" b="1" i="0" u="none" strike="noStrike">
              <a:solidFill>
                <a:schemeClr val="tx1"/>
              </a:solidFill>
              <a:latin typeface="Calibri"/>
              <a:cs typeface="Calibri"/>
            </a:rPr>
            <a:pPr algn="ctr"/>
            <a:t>Relationship</a:t>
          </a:fld>
          <a:endParaRPr lang="en-US" sz="2000" b="1">
            <a:solidFill>
              <a:schemeClr val="tx1"/>
            </a:solidFill>
            <a:latin typeface="Aptos Narrow"/>
          </a:endParaRPr>
        </a:p>
      </xdr:txBody>
    </xdr:sp>
    <xdr:clientData/>
  </xdr:twoCellAnchor>
  <xdr:twoCellAnchor>
    <xdr:from>
      <xdr:col>13</xdr:col>
      <xdr:colOff>330995</xdr:colOff>
      <xdr:row>38</xdr:row>
      <xdr:rowOff>90492</xdr:rowOff>
    </xdr:from>
    <xdr:to>
      <xdr:col>15</xdr:col>
      <xdr:colOff>95252</xdr:colOff>
      <xdr:row>40</xdr:row>
      <xdr:rowOff>71440</xdr:rowOff>
    </xdr:to>
    <xdr:sp macro="" textlink="Proccessing!P13">
      <xdr:nvSpPr>
        <xdr:cNvPr id="36" name="TextBox 35"/>
        <xdr:cNvSpPr txBox="1"/>
      </xdr:nvSpPr>
      <xdr:spPr>
        <a:xfrm>
          <a:off x="8224839" y="7329492"/>
          <a:ext cx="978694" cy="36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EFF7D-92A9-4950-94C6-C800E610ADA1}" type="TxLink">
            <a:rPr lang="en-US" sz="1100" b="1" i="0" u="none" strike="noStrike">
              <a:solidFill>
                <a:schemeClr val="tx1"/>
              </a:solidFill>
              <a:latin typeface="Calibri"/>
              <a:cs typeface="Calibri"/>
            </a:rPr>
            <a:pPr algn="ctr"/>
            <a:t>Management</a:t>
          </a:fld>
          <a:endParaRPr lang="en-US" sz="2000" b="1">
            <a:solidFill>
              <a:schemeClr val="tx1"/>
            </a:solidFill>
            <a:latin typeface="Aptos Narrow"/>
          </a:endParaRPr>
        </a:p>
      </xdr:txBody>
    </xdr:sp>
    <xdr:clientData/>
  </xdr:twoCellAnchor>
  <xdr:twoCellAnchor>
    <xdr:from>
      <xdr:col>17</xdr:col>
      <xdr:colOff>41779</xdr:colOff>
      <xdr:row>29</xdr:row>
      <xdr:rowOff>22410</xdr:rowOff>
    </xdr:from>
    <xdr:to>
      <xdr:col>22</xdr:col>
      <xdr:colOff>500589</xdr:colOff>
      <xdr:row>40</xdr:row>
      <xdr:rowOff>134469</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170332</xdr:colOff>
      <xdr:row>28</xdr:row>
      <xdr:rowOff>145677</xdr:rowOff>
    </xdr:from>
    <xdr:to>
      <xdr:col>22</xdr:col>
      <xdr:colOff>372037</xdr:colOff>
      <xdr:row>41</xdr:row>
      <xdr:rowOff>123264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120390</xdr:colOff>
      <xdr:row>27</xdr:row>
      <xdr:rowOff>111990</xdr:rowOff>
    </xdr:from>
    <xdr:to>
      <xdr:col>18</xdr:col>
      <xdr:colOff>448897</xdr:colOff>
      <xdr:row>29</xdr:row>
      <xdr:rowOff>32218</xdr:rowOff>
    </xdr:to>
    <xdr:sp macro="" textlink="Proccessing!P1">
      <xdr:nvSpPr>
        <xdr:cNvPr id="39" name="TextBox 38"/>
        <xdr:cNvSpPr txBox="1"/>
      </xdr:nvSpPr>
      <xdr:spPr>
        <a:xfrm>
          <a:off x="10407390" y="5255490"/>
          <a:ext cx="933625"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2B463-C417-4387-ADCD-DED7BA437E68}" type="TxLink">
            <a:rPr lang="en-US" sz="1100" b="0" i="0" u="none" strike="noStrike">
              <a:solidFill>
                <a:srgbClr val="000000"/>
              </a:solidFill>
              <a:latin typeface="Calibri"/>
              <a:cs typeface="Calibri"/>
            </a:rPr>
            <a:pPr/>
            <a:t>Point of Sale</a:t>
          </a:fld>
          <a:endParaRPr lang="en-US" sz="2400" b="0">
            <a:solidFill>
              <a:schemeClr val="tx1"/>
            </a:solidFill>
            <a:latin typeface="Aptos Narrow"/>
          </a:endParaRPr>
        </a:p>
      </xdr:txBody>
    </xdr:sp>
    <xdr:clientData/>
  </xdr:twoCellAnchor>
  <xdr:twoCellAnchor>
    <xdr:from>
      <xdr:col>20</xdr:col>
      <xdr:colOff>593911</xdr:colOff>
      <xdr:row>27</xdr:row>
      <xdr:rowOff>100784</xdr:rowOff>
    </xdr:from>
    <xdr:to>
      <xdr:col>21</xdr:col>
      <xdr:colOff>448895</xdr:colOff>
      <xdr:row>29</xdr:row>
      <xdr:rowOff>21012</xdr:rowOff>
    </xdr:to>
    <xdr:sp macro="" textlink="Proccessing!Q1">
      <xdr:nvSpPr>
        <xdr:cNvPr id="40" name="TextBox 39"/>
        <xdr:cNvSpPr txBox="1"/>
      </xdr:nvSpPr>
      <xdr:spPr>
        <a:xfrm>
          <a:off x="12696264" y="5244284"/>
          <a:ext cx="460102"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D320050-B1A6-44B6-BDB1-6C6ABB139E09}" type="TxLink">
            <a:rPr lang="en-US" sz="1100" b="0" i="0" u="none" strike="noStrike">
              <a:solidFill>
                <a:srgbClr val="000000"/>
              </a:solidFill>
              <a:latin typeface="Calibri"/>
              <a:cs typeface="Calibri"/>
            </a:rPr>
            <a:pPr algn="r"/>
            <a:t>KPI</a:t>
          </a:fld>
          <a:endParaRPr lang="en-US" sz="2400" b="0">
            <a:solidFill>
              <a:schemeClr val="tx1"/>
            </a:solidFill>
            <a:latin typeface="Aptos Narrow"/>
          </a:endParaRPr>
        </a:p>
      </xdr:txBody>
    </xdr:sp>
    <xdr:clientData/>
  </xdr:twoCellAnchor>
  <xdr:twoCellAnchor>
    <xdr:from>
      <xdr:col>21</xdr:col>
      <xdr:colOff>56029</xdr:colOff>
      <xdr:row>28</xdr:row>
      <xdr:rowOff>190431</xdr:rowOff>
    </xdr:from>
    <xdr:to>
      <xdr:col>21</xdr:col>
      <xdr:colOff>516131</xdr:colOff>
      <xdr:row>30</xdr:row>
      <xdr:rowOff>110659</xdr:rowOff>
    </xdr:to>
    <xdr:sp macro="" textlink="Proccessing!R1">
      <xdr:nvSpPr>
        <xdr:cNvPr id="41" name="TextBox 40"/>
        <xdr:cNvSpPr txBox="1"/>
      </xdr:nvSpPr>
      <xdr:spPr>
        <a:xfrm>
          <a:off x="12763500" y="5524431"/>
          <a:ext cx="460102"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C1F490-BE9E-4B0D-B641-4D0E4D7B13AA}" type="TxLink">
            <a:rPr lang="en-US" sz="1100" b="0" i="0" u="none" strike="noStrike">
              <a:solidFill>
                <a:srgbClr val="000000"/>
              </a:solidFill>
              <a:latin typeface="Calibri"/>
              <a:cs typeface="Calibri"/>
            </a:rPr>
            <a:pPr algn="r"/>
            <a:t>Cost</a:t>
          </a:fld>
          <a:endParaRPr lang="en-US" sz="2400" b="0">
            <a:solidFill>
              <a:schemeClr val="tx1"/>
            </a:solidFill>
            <a:latin typeface="Aptos Narrow"/>
          </a:endParaRPr>
        </a:p>
      </xdr:txBody>
    </xdr:sp>
    <xdr:clientData/>
  </xdr:twoCellAnchor>
  <xdr:twoCellAnchor>
    <xdr:from>
      <xdr:col>21</xdr:col>
      <xdr:colOff>448235</xdr:colOff>
      <xdr:row>27</xdr:row>
      <xdr:rowOff>190499</xdr:rowOff>
    </xdr:from>
    <xdr:to>
      <xdr:col>21</xdr:col>
      <xdr:colOff>585395</xdr:colOff>
      <xdr:row>28</xdr:row>
      <xdr:rowOff>137159</xdr:rowOff>
    </xdr:to>
    <xdr:sp macro="" textlink="">
      <xdr:nvSpPr>
        <xdr:cNvPr id="23" name="Oval 22"/>
        <xdr:cNvSpPr/>
      </xdr:nvSpPr>
      <xdr:spPr>
        <a:xfrm>
          <a:off x="13219062" y="5333999"/>
          <a:ext cx="137160" cy="137160"/>
        </a:xfrm>
        <a:prstGeom prst="ellipse">
          <a:avLst/>
        </a:prstGeom>
        <a:noFill/>
        <a:ln>
          <a:solidFill>
            <a:srgbClr val="5BF6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448235</xdr:colOff>
      <xdr:row>29</xdr:row>
      <xdr:rowOff>73957</xdr:rowOff>
    </xdr:from>
    <xdr:to>
      <xdr:col>21</xdr:col>
      <xdr:colOff>585395</xdr:colOff>
      <xdr:row>30</xdr:row>
      <xdr:rowOff>20617</xdr:rowOff>
    </xdr:to>
    <xdr:sp macro="" textlink="">
      <xdr:nvSpPr>
        <xdr:cNvPr id="42" name="Oval 41"/>
        <xdr:cNvSpPr/>
      </xdr:nvSpPr>
      <xdr:spPr>
        <a:xfrm>
          <a:off x="13219062" y="5598457"/>
          <a:ext cx="137160" cy="137160"/>
        </a:xfrm>
        <a:prstGeom prst="ellipse">
          <a:avLst/>
        </a:prstGeom>
        <a:noFill/>
        <a:ln>
          <a:solidFill>
            <a:srgbClr val="8439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504825</xdr:colOff>
      <xdr:row>8</xdr:row>
      <xdr:rowOff>180976</xdr:rowOff>
    </xdr:from>
    <xdr:to>
      <xdr:col>11</xdr:col>
      <xdr:colOff>438150</xdr:colOff>
      <xdr:row>13</xdr:row>
      <xdr:rowOff>104776</xdr:rowOff>
    </xdr:to>
    <xdr:sp macro="" textlink="">
      <xdr:nvSpPr>
        <xdr:cNvPr id="43" name="TextBox 42"/>
        <xdr:cNvSpPr txBox="1"/>
      </xdr:nvSpPr>
      <xdr:spPr>
        <a:xfrm>
          <a:off x="2943225" y="1704976"/>
          <a:ext cx="42005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b="0" i="0" u="none" strike="noStrike">
              <a:solidFill>
                <a:schemeClr val="tx1"/>
              </a:solidFill>
              <a:latin typeface="Georgia" panose="02040502050405020303" pitchFamily="18" charset="0"/>
              <a:ea typeface="+mn-ea"/>
              <a:cs typeface="Calibri"/>
            </a:rPr>
            <a:t>CRM </a:t>
          </a:r>
          <a:r>
            <a:rPr lang="en-US" sz="3500" b="0" i="0" u="none" strike="noStrike">
              <a:solidFill>
                <a:schemeClr val="tx1"/>
              </a:solidFill>
              <a:latin typeface="Georgia" panose="02040502050405020303" pitchFamily="18" charset="0"/>
              <a:ea typeface="+mn-ea"/>
              <a:cs typeface="Calibri"/>
            </a:rPr>
            <a:t>Dashboard</a:t>
          </a:r>
        </a:p>
      </xdr:txBody>
    </xdr:sp>
    <xdr:clientData/>
  </xdr:twoCellAnchor>
  <xdr:twoCellAnchor>
    <xdr:from>
      <xdr:col>17</xdr:col>
      <xdr:colOff>36635</xdr:colOff>
      <xdr:row>13</xdr:row>
      <xdr:rowOff>158750</xdr:rowOff>
    </xdr:from>
    <xdr:to>
      <xdr:col>22</xdr:col>
      <xdr:colOff>439616</xdr:colOff>
      <xdr:row>25</xdr:row>
      <xdr:rowOff>97692</xdr:rowOff>
    </xdr:to>
    <xdr:sp macro="" textlink="">
      <xdr:nvSpPr>
        <xdr:cNvPr id="44" name="Rectangle 43">
          <a:hlinkClick xmlns:r="http://schemas.openxmlformats.org/officeDocument/2006/relationships" r:id="rId8"/>
        </xdr:cNvPr>
        <xdr:cNvSpPr/>
      </xdr:nvSpPr>
      <xdr:spPr>
        <a:xfrm>
          <a:off x="10416443" y="2698750"/>
          <a:ext cx="3455865" cy="2283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349616</xdr:colOff>
      <xdr:row>10</xdr:row>
      <xdr:rowOff>109904</xdr:rowOff>
    </xdr:from>
    <xdr:to>
      <xdr:col>21</xdr:col>
      <xdr:colOff>83255</xdr:colOff>
      <xdr:row>12</xdr:row>
      <xdr:rowOff>122096</xdr:rowOff>
    </xdr:to>
    <xdr:pic>
      <xdr:nvPicPr>
        <xdr:cNvPr id="45" name="Picture 44">
          <a:hlinkClick xmlns:r="http://schemas.openxmlformats.org/officeDocument/2006/relationships" r:id="rId9"/>
        </xdr:cNvPr>
        <xdr:cNvPicPr>
          <a:picLocks/>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0" b="99628" l="0" r="100000"/>
                  </a14:imgEffect>
                  <a14:imgEffect>
                    <a14:saturation sat="0"/>
                  </a14:imgEffect>
                </a14:imgLayer>
              </a14:imgProps>
            </a:ext>
          </a:extLst>
        </a:blip>
        <a:stretch>
          <a:fillRect/>
        </a:stretch>
      </xdr:blipFill>
      <xdr:spPr>
        <a:xfrm>
          <a:off x="12626283" y="2014904"/>
          <a:ext cx="347472" cy="393192"/>
        </a:xfrm>
        <a:prstGeom prst="rect">
          <a:avLst/>
        </a:prstGeom>
      </xdr:spPr>
    </xdr:pic>
    <xdr:clientData/>
  </xdr:twoCellAnchor>
  <xdr:twoCellAnchor editAs="oneCell">
    <xdr:from>
      <xdr:col>19</xdr:col>
      <xdr:colOff>61057</xdr:colOff>
      <xdr:row>10</xdr:row>
      <xdr:rowOff>119947</xdr:rowOff>
    </xdr:from>
    <xdr:to>
      <xdr:col>19</xdr:col>
      <xdr:colOff>428167</xdr:colOff>
      <xdr:row>12</xdr:row>
      <xdr:rowOff>104707</xdr:rowOff>
    </xdr:to>
    <xdr:pic>
      <xdr:nvPicPr>
        <xdr:cNvPr id="46" name="Picture 45" descr="Sun Icon, Transparent Sun.PNG Images &amp; Vector - FreeIconsPNG"/>
        <xdr:cNvPicPr>
          <a:picLocks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0" b="100000" l="0" r="100000"/>
                  </a14:imgEffect>
                </a14:imgLayer>
              </a14:imgProps>
            </a:ext>
            <a:ext uri="{28A0092B-C50C-407E-A947-70E740481C1C}">
              <a14:useLocalDpi xmlns:a14="http://schemas.microsoft.com/office/drawing/2010/main" val="0"/>
            </a:ext>
          </a:extLst>
        </a:blip>
        <a:srcRect/>
        <a:stretch>
          <a:fillRect/>
        </a:stretch>
      </xdr:blipFill>
      <xdr:spPr bwMode="auto">
        <a:xfrm>
          <a:off x="11723890" y="2024947"/>
          <a:ext cx="36711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776287</xdr:colOff>
      <xdr:row>16</xdr:row>
      <xdr:rowOff>142873</xdr:rowOff>
    </xdr:from>
    <xdr:to>
      <xdr:col>10</xdr:col>
      <xdr:colOff>669131</xdr:colOff>
      <xdr:row>18</xdr:row>
      <xdr:rowOff>23812</xdr:rowOff>
    </xdr:to>
    <xdr:sp macro="" textlink="">
      <xdr:nvSpPr>
        <xdr:cNvPr id="3" name="Rounded Rectangle 2"/>
        <xdr:cNvSpPr/>
      </xdr:nvSpPr>
      <xdr:spPr>
        <a:xfrm>
          <a:off x="8662987" y="31908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776287</xdr:colOff>
      <xdr:row>19</xdr:row>
      <xdr:rowOff>9523</xdr:rowOff>
    </xdr:from>
    <xdr:to>
      <xdr:col>10</xdr:col>
      <xdr:colOff>669131</xdr:colOff>
      <xdr:row>20</xdr:row>
      <xdr:rowOff>80962</xdr:rowOff>
    </xdr:to>
    <xdr:sp macro="" textlink="">
      <xdr:nvSpPr>
        <xdr:cNvPr id="4" name="Rounded Rectangle 2"/>
        <xdr:cNvSpPr/>
      </xdr:nvSpPr>
      <xdr:spPr>
        <a:xfrm flipV="1">
          <a:off x="8662987" y="36290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233362</xdr:colOff>
      <xdr:row>16</xdr:row>
      <xdr:rowOff>123823</xdr:rowOff>
    </xdr:from>
    <xdr:to>
      <xdr:col>13</xdr:col>
      <xdr:colOff>192881</xdr:colOff>
      <xdr:row>18</xdr:row>
      <xdr:rowOff>4762</xdr:rowOff>
    </xdr:to>
    <xdr:sp macro="" textlink="">
      <xdr:nvSpPr>
        <xdr:cNvPr id="5" name="Rounded Rectangle 2"/>
        <xdr:cNvSpPr/>
      </xdr:nvSpPr>
      <xdr:spPr>
        <a:xfrm>
          <a:off x="10615612" y="31718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51F5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242887</xdr:colOff>
      <xdr:row>18</xdr:row>
      <xdr:rowOff>180973</xdr:rowOff>
    </xdr:from>
    <xdr:to>
      <xdr:col>13</xdr:col>
      <xdr:colOff>202406</xdr:colOff>
      <xdr:row>20</xdr:row>
      <xdr:rowOff>61912</xdr:rowOff>
    </xdr:to>
    <xdr:sp macro="" textlink="">
      <xdr:nvSpPr>
        <xdr:cNvPr id="6" name="Rounded Rectangle 2"/>
        <xdr:cNvSpPr/>
      </xdr:nvSpPr>
      <xdr:spPr>
        <a:xfrm flipV="1">
          <a:off x="10625137" y="36099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8439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604837</xdr:colOff>
      <xdr:row>16</xdr:row>
      <xdr:rowOff>123823</xdr:rowOff>
    </xdr:from>
    <xdr:to>
      <xdr:col>15</xdr:col>
      <xdr:colOff>592931</xdr:colOff>
      <xdr:row>18</xdr:row>
      <xdr:rowOff>4762</xdr:rowOff>
    </xdr:to>
    <xdr:sp macro="" textlink="">
      <xdr:nvSpPr>
        <xdr:cNvPr id="7" name="Rounded Rectangle 2"/>
        <xdr:cNvSpPr/>
      </xdr:nvSpPr>
      <xdr:spPr>
        <a:xfrm>
          <a:off x="12615862" y="31718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595312</xdr:colOff>
      <xdr:row>18</xdr:row>
      <xdr:rowOff>180973</xdr:rowOff>
    </xdr:from>
    <xdr:to>
      <xdr:col>15</xdr:col>
      <xdr:colOff>583406</xdr:colOff>
      <xdr:row>20</xdr:row>
      <xdr:rowOff>61912</xdr:rowOff>
    </xdr:to>
    <xdr:sp macro="" textlink="">
      <xdr:nvSpPr>
        <xdr:cNvPr id="8" name="Rounded Rectangle 2"/>
        <xdr:cNvSpPr/>
      </xdr:nvSpPr>
      <xdr:spPr>
        <a:xfrm flipV="1">
          <a:off x="12606337" y="36099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104774</xdr:rowOff>
    </xdr:from>
    <xdr:to>
      <xdr:col>13</xdr:col>
      <xdr:colOff>304800</xdr:colOff>
      <xdr:row>53</xdr:row>
      <xdr:rowOff>142874</xdr:rowOff>
    </xdr:to>
    <xdr:sp macro="" textlink="">
      <xdr:nvSpPr>
        <xdr:cNvPr id="2" name="Oval 1"/>
        <xdr:cNvSpPr/>
      </xdr:nvSpPr>
      <xdr:spPr>
        <a:xfrm>
          <a:off x="0" y="2009774"/>
          <a:ext cx="8229600" cy="8229600"/>
        </a:xfrm>
        <a:prstGeom prst="ellipse">
          <a:avLst/>
        </a:prstGeom>
        <a:gradFill flip="none" rotWithShape="1">
          <a:gsLst>
            <a:gs pos="0">
              <a:srgbClr val="D6F5D3"/>
            </a:gs>
            <a:gs pos="100000">
              <a:srgbClr val="66D98E"/>
            </a:gs>
          </a:gsLst>
          <a:path path="circle">
            <a:fillToRect l="100000" b="100000"/>
          </a:path>
          <a:tileRect t="-100000" r="-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184944</xdr:colOff>
      <xdr:row>3</xdr:row>
      <xdr:rowOff>57943</xdr:rowOff>
    </xdr:from>
    <xdr:to>
      <xdr:col>29</xdr:col>
      <xdr:colOff>489744</xdr:colOff>
      <xdr:row>36</xdr:row>
      <xdr:rowOff>172243</xdr:rowOff>
    </xdr:to>
    <xdr:sp macro="" textlink="">
      <xdr:nvSpPr>
        <xdr:cNvPr id="3" name="Oval 2"/>
        <xdr:cNvSpPr/>
      </xdr:nvSpPr>
      <xdr:spPr>
        <a:xfrm>
          <a:off x="11767344" y="629443"/>
          <a:ext cx="6400800" cy="6400800"/>
        </a:xfrm>
        <a:prstGeom prst="ellipse">
          <a:avLst/>
        </a:prstGeom>
        <a:gradFill>
          <a:gsLst>
            <a:gs pos="0">
              <a:srgbClr val="E1D9FF"/>
            </a:gs>
            <a:gs pos="100000">
              <a:srgbClr val="A893FF"/>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121443</xdr:colOff>
      <xdr:row>9</xdr:row>
      <xdr:rowOff>26193</xdr:rowOff>
    </xdr:from>
    <xdr:to>
      <xdr:col>23</xdr:col>
      <xdr:colOff>288607</xdr:colOff>
      <xdr:row>45</xdr:row>
      <xdr:rowOff>26193</xdr:rowOff>
    </xdr:to>
    <xdr:sp macro="" textlink="">
      <xdr:nvSpPr>
        <xdr:cNvPr id="4" name="Rounded Rectangle 3"/>
        <xdr:cNvSpPr/>
      </xdr:nvSpPr>
      <xdr:spPr>
        <a:xfrm>
          <a:off x="2542381" y="1722834"/>
          <a:ext cx="11666617" cy="6786562"/>
        </a:xfrm>
        <a:prstGeom prst="roundRect">
          <a:avLst>
            <a:gd name="adj" fmla="val 2605"/>
          </a:avLst>
        </a:prstGeom>
        <a:solidFill>
          <a:schemeClr val="bg1">
            <a:alpha val="4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435768</xdr:colOff>
      <xdr:row>13</xdr:row>
      <xdr:rowOff>105568</xdr:rowOff>
    </xdr:from>
    <xdr:to>
      <xdr:col>16</xdr:col>
      <xdr:colOff>54768</xdr:colOff>
      <xdr:row>30</xdr:row>
      <xdr:rowOff>158908</xdr:rowOff>
    </xdr:to>
    <xdr:sp macro="" textlink="">
      <xdr:nvSpPr>
        <xdr:cNvPr id="5" name="Rounded Rectangle 4"/>
        <xdr:cNvSpPr/>
      </xdr:nvSpPr>
      <xdr:spPr>
        <a:xfrm>
          <a:off x="2874168" y="2582068"/>
          <a:ext cx="6934200" cy="32918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13493</xdr:colOff>
      <xdr:row>13</xdr:row>
      <xdr:rowOff>105568</xdr:rowOff>
    </xdr:from>
    <xdr:to>
      <xdr:col>22</xdr:col>
      <xdr:colOff>471963</xdr:colOff>
      <xdr:row>25</xdr:row>
      <xdr:rowOff>105568</xdr:rowOff>
    </xdr:to>
    <xdr:sp macro="" textlink="">
      <xdr:nvSpPr>
        <xdr:cNvPr id="6" name="Rounded Rectangle 5"/>
        <xdr:cNvSpPr/>
      </xdr:nvSpPr>
      <xdr:spPr>
        <a:xfrm>
          <a:off x="10393301" y="2645568"/>
          <a:ext cx="3511354" cy="2344615"/>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41949</xdr:colOff>
      <xdr:row>27</xdr:row>
      <xdr:rowOff>45243</xdr:rowOff>
    </xdr:from>
    <xdr:to>
      <xdr:col>22</xdr:col>
      <xdr:colOff>500419</xdr:colOff>
      <xdr:row>42</xdr:row>
      <xdr:rowOff>113823</xdr:rowOff>
    </xdr:to>
    <xdr:sp macro="" textlink="">
      <xdr:nvSpPr>
        <xdr:cNvPr id="7" name="Rounded Rectangle 6"/>
        <xdr:cNvSpPr/>
      </xdr:nvSpPr>
      <xdr:spPr>
        <a:xfrm>
          <a:off x="10405149" y="5188743"/>
          <a:ext cx="3506470" cy="292608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521493</xdr:colOff>
      <xdr:row>32</xdr:row>
      <xdr:rowOff>73580</xdr:rowOff>
    </xdr:from>
    <xdr:to>
      <xdr:col>8</xdr:col>
      <xdr:colOff>165893</xdr:colOff>
      <xdr:row>42</xdr:row>
      <xdr:rowOff>88820</xdr:rowOff>
    </xdr:to>
    <xdr:sp macro="" textlink="">
      <xdr:nvSpPr>
        <xdr:cNvPr id="8" name="Rounded Rectangle 7"/>
        <xdr:cNvSpPr/>
      </xdr:nvSpPr>
      <xdr:spPr>
        <a:xfrm>
          <a:off x="2959893" y="6169580"/>
          <a:ext cx="2082800"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447041</xdr:colOff>
      <xdr:row>32</xdr:row>
      <xdr:rowOff>67150</xdr:rowOff>
    </xdr:from>
    <xdr:to>
      <xdr:col>12</xdr:col>
      <xdr:colOff>91441</xdr:colOff>
      <xdr:row>42</xdr:row>
      <xdr:rowOff>82390</xdr:rowOff>
    </xdr:to>
    <xdr:sp macro="" textlink="">
      <xdr:nvSpPr>
        <xdr:cNvPr id="9" name="Rounded Rectangle 8"/>
        <xdr:cNvSpPr/>
      </xdr:nvSpPr>
      <xdr:spPr>
        <a:xfrm>
          <a:off x="5323841" y="6163150"/>
          <a:ext cx="2082800"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410368</xdr:colOff>
      <xdr:row>32</xdr:row>
      <xdr:rowOff>67150</xdr:rowOff>
    </xdr:from>
    <xdr:to>
      <xdr:col>16</xdr:col>
      <xdr:colOff>54768</xdr:colOff>
      <xdr:row>42</xdr:row>
      <xdr:rowOff>82390</xdr:rowOff>
    </xdr:to>
    <xdr:sp macro="" textlink="">
      <xdr:nvSpPr>
        <xdr:cNvPr id="10" name="Rounded Rectangle 9"/>
        <xdr:cNvSpPr/>
      </xdr:nvSpPr>
      <xdr:spPr>
        <a:xfrm>
          <a:off x="7725568" y="6163150"/>
          <a:ext cx="2082800" cy="1920240"/>
        </a:xfrm>
        <a:prstGeom prst="roundRect">
          <a:avLst>
            <a:gd name="adj" fmla="val 5981"/>
          </a:avLst>
        </a:prstGeom>
        <a:solidFill>
          <a:srgbClr val="EFF3F5"/>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19825</xdr:colOff>
      <xdr:row>16</xdr:row>
      <xdr:rowOff>15875</xdr:rowOff>
    </xdr:from>
    <xdr:to>
      <xdr:col>22</xdr:col>
      <xdr:colOff>441661</xdr:colOff>
      <xdr:row>25</xdr:row>
      <xdr:rowOff>86214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478633</xdr:colOff>
      <xdr:row>10</xdr:row>
      <xdr:rowOff>38100</xdr:rowOff>
    </xdr:from>
    <xdr:to>
      <xdr:col>18</xdr:col>
      <xdr:colOff>209550</xdr:colOff>
      <xdr:row>12</xdr:row>
      <xdr:rowOff>165099</xdr:rowOff>
    </xdr:to>
    <mc:AlternateContent xmlns:mc="http://schemas.openxmlformats.org/markup-compatibility/2006" xmlns:a14="http://schemas.microsoft.com/office/drawing/2010/main">
      <mc:Choice Requires="a14">
        <xdr:graphicFrame macro="">
          <xdr:nvGraphicFramePr>
            <xdr:cNvPr id="1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26710" y="1991946"/>
              <a:ext cx="2173225" cy="517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428624</xdr:colOff>
      <xdr:row>14</xdr:row>
      <xdr:rowOff>9525</xdr:rowOff>
    </xdr:from>
    <xdr:to>
      <xdr:col>8</xdr:col>
      <xdr:colOff>337038</xdr:colOff>
      <xdr:row>15</xdr:row>
      <xdr:rowOff>95250</xdr:rowOff>
    </xdr:to>
    <xdr:sp macro="" textlink="Proccessing!A1">
      <xdr:nvSpPr>
        <xdr:cNvPr id="14" name="TextBox 13"/>
        <xdr:cNvSpPr txBox="1"/>
      </xdr:nvSpPr>
      <xdr:spPr>
        <a:xfrm>
          <a:off x="3476624" y="2676525"/>
          <a:ext cx="17372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F6FE26-6A67-4D89-83EE-6C993C6D0365}" type="TxLink">
            <a:rPr lang="en-US" sz="1400" b="1" i="0" u="none" strike="noStrike">
              <a:solidFill>
                <a:srgbClr val="000000"/>
              </a:solidFill>
              <a:latin typeface="Aptos Narrow"/>
              <a:cs typeface="Calibri"/>
            </a:rPr>
            <a:pPr/>
            <a:t>Customer Activity</a:t>
          </a:fld>
          <a:endParaRPr lang="en-US" sz="1400" b="1">
            <a:latin typeface="Aptos Narrow"/>
          </a:endParaRPr>
        </a:p>
      </xdr:txBody>
    </xdr:sp>
    <xdr:clientData/>
  </xdr:twoCellAnchor>
  <xdr:twoCellAnchor>
    <xdr:from>
      <xdr:col>8</xdr:col>
      <xdr:colOff>556847</xdr:colOff>
      <xdr:row>13</xdr:row>
      <xdr:rowOff>188511</xdr:rowOff>
    </xdr:from>
    <xdr:to>
      <xdr:col>11</xdr:col>
      <xdr:colOff>10259</xdr:colOff>
      <xdr:row>15</xdr:row>
      <xdr:rowOff>83736</xdr:rowOff>
    </xdr:to>
    <xdr:sp macro="" textlink="Proccessing!B1">
      <xdr:nvSpPr>
        <xdr:cNvPr id="15" name="TextBox 14"/>
        <xdr:cNvSpPr txBox="1"/>
      </xdr:nvSpPr>
      <xdr:spPr>
        <a:xfrm>
          <a:off x="5433647" y="2665011"/>
          <a:ext cx="128221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965960-9042-401C-A624-A979D1B93D5C}" type="TxLink">
            <a:rPr lang="en-US" sz="1400" b="1" i="0" u="none" strike="noStrike">
              <a:solidFill>
                <a:schemeClr val="tx1"/>
              </a:solidFill>
              <a:latin typeface="Aptos Narrow"/>
              <a:cs typeface="Calibri"/>
            </a:rPr>
            <a:pPr/>
            <a:t>Active Client Count</a:t>
          </a:fld>
          <a:endParaRPr lang="en-US" sz="1800" b="1">
            <a:solidFill>
              <a:schemeClr val="tx1"/>
            </a:solidFill>
            <a:latin typeface="Aptos Narrow"/>
          </a:endParaRPr>
        </a:p>
      </xdr:txBody>
    </xdr:sp>
    <xdr:clientData/>
  </xdr:twoCellAnchor>
  <xdr:twoCellAnchor>
    <xdr:from>
      <xdr:col>12</xdr:col>
      <xdr:colOff>255814</xdr:colOff>
      <xdr:row>13</xdr:row>
      <xdr:rowOff>163116</xdr:rowOff>
    </xdr:from>
    <xdr:to>
      <xdr:col>14</xdr:col>
      <xdr:colOff>593479</xdr:colOff>
      <xdr:row>15</xdr:row>
      <xdr:rowOff>58341</xdr:rowOff>
    </xdr:to>
    <xdr:sp macro="" textlink="Proccessing!C1">
      <xdr:nvSpPr>
        <xdr:cNvPr id="16" name="TextBox 15"/>
        <xdr:cNvSpPr txBox="1"/>
      </xdr:nvSpPr>
      <xdr:spPr>
        <a:xfrm>
          <a:off x="7571014" y="2639616"/>
          <a:ext cx="155686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E39CB-B774-43D7-BFA5-21E83B1DAD95}" type="TxLink">
            <a:rPr lang="en-US" sz="1400" b="1" i="0" u="none" strike="noStrike">
              <a:solidFill>
                <a:schemeClr val="tx1"/>
              </a:solidFill>
              <a:latin typeface="Aptos Narrow"/>
              <a:cs typeface="Calibri"/>
            </a:rPr>
            <a:pPr/>
            <a:t>Average Client Count</a:t>
          </a:fld>
          <a:endParaRPr lang="en-US" sz="2400" b="1">
            <a:solidFill>
              <a:schemeClr val="tx1"/>
            </a:solidFill>
            <a:latin typeface="Aptos Narrow"/>
          </a:endParaRPr>
        </a:p>
      </xdr:txBody>
    </xdr:sp>
    <xdr:clientData/>
  </xdr:twoCellAnchor>
  <xdr:twoCellAnchor>
    <xdr:from>
      <xdr:col>10</xdr:col>
      <xdr:colOff>589085</xdr:colOff>
      <xdr:row>14</xdr:row>
      <xdr:rowOff>25854</xdr:rowOff>
    </xdr:from>
    <xdr:to>
      <xdr:col>12</xdr:col>
      <xdr:colOff>58615</xdr:colOff>
      <xdr:row>15</xdr:row>
      <xdr:rowOff>51290</xdr:rowOff>
    </xdr:to>
    <xdr:sp macro="" textlink="Proccessing!D14">
      <xdr:nvSpPr>
        <xdr:cNvPr id="17" name="TextBox 16"/>
        <xdr:cNvSpPr txBox="1"/>
      </xdr:nvSpPr>
      <xdr:spPr>
        <a:xfrm>
          <a:off x="6685085" y="2692854"/>
          <a:ext cx="688730"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A90424-79D1-4759-B607-D0B1B9F7AEAE}" type="TxLink">
            <a:rPr lang="en-US" sz="1400" b="1" i="0" u="none" strike="noStrike">
              <a:solidFill>
                <a:srgbClr val="51F52B"/>
              </a:solidFill>
              <a:latin typeface="Aptos Narrow"/>
              <a:cs typeface="Calibri"/>
            </a:rPr>
            <a:pPr/>
            <a:t>9952</a:t>
          </a:fld>
          <a:endParaRPr lang="en-US" sz="2400" b="1">
            <a:solidFill>
              <a:srgbClr val="51F52B"/>
            </a:solidFill>
            <a:latin typeface="Aptos Narrow"/>
          </a:endParaRPr>
        </a:p>
      </xdr:txBody>
    </xdr:sp>
    <xdr:clientData/>
  </xdr:twoCellAnchor>
  <xdr:twoCellAnchor>
    <xdr:from>
      <xdr:col>14</xdr:col>
      <xdr:colOff>455734</xdr:colOff>
      <xdr:row>14</xdr:row>
      <xdr:rowOff>9735</xdr:rowOff>
    </xdr:from>
    <xdr:to>
      <xdr:col>15</xdr:col>
      <xdr:colOff>556846</xdr:colOff>
      <xdr:row>15</xdr:row>
      <xdr:rowOff>35171</xdr:rowOff>
    </xdr:to>
    <xdr:sp macro="" textlink="Proccessing!E14">
      <xdr:nvSpPr>
        <xdr:cNvPr id="18" name="TextBox 17"/>
        <xdr:cNvSpPr txBox="1"/>
      </xdr:nvSpPr>
      <xdr:spPr>
        <a:xfrm>
          <a:off x="8990134" y="2676735"/>
          <a:ext cx="710712"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E7007A-CB5A-41E0-B41B-C405BBDAA3C3}" type="TxLink">
            <a:rPr lang="en-US" sz="1400" b="1" i="0" u="none" strike="noStrike">
              <a:solidFill>
                <a:srgbClr val="9F5FCF"/>
              </a:solidFill>
              <a:latin typeface="Aptos Narrow"/>
              <a:cs typeface="Calibri"/>
            </a:rPr>
            <a:pPr/>
            <a:t>9613</a:t>
          </a:fld>
          <a:endParaRPr lang="en-US" sz="3200" b="1">
            <a:solidFill>
              <a:srgbClr val="9F5FCF"/>
            </a:solidFill>
            <a:latin typeface="Aptos Narrow"/>
          </a:endParaRPr>
        </a:p>
      </xdr:txBody>
    </xdr:sp>
    <xdr:clientData/>
  </xdr:twoCellAnchor>
  <xdr:twoCellAnchor>
    <xdr:from>
      <xdr:col>4</xdr:col>
      <xdr:colOff>573331</xdr:colOff>
      <xdr:row>15</xdr:row>
      <xdr:rowOff>80901</xdr:rowOff>
    </xdr:from>
    <xdr:to>
      <xdr:col>15</xdr:col>
      <xdr:colOff>468097</xdr:colOff>
      <xdr:row>28</xdr:row>
      <xdr:rowOff>146941</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64399</xdr:colOff>
      <xdr:row>14</xdr:row>
      <xdr:rowOff>55960</xdr:rowOff>
    </xdr:from>
    <xdr:to>
      <xdr:col>18</xdr:col>
      <xdr:colOff>392906</xdr:colOff>
      <xdr:row>15</xdr:row>
      <xdr:rowOff>166688</xdr:rowOff>
    </xdr:to>
    <xdr:sp macro="" textlink="Proccessing!G1">
      <xdr:nvSpPr>
        <xdr:cNvPr id="20" name="TextBox 19"/>
        <xdr:cNvSpPr txBox="1"/>
      </xdr:nvSpPr>
      <xdr:spPr>
        <a:xfrm>
          <a:off x="10427599" y="272296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3EDA06-C0A7-41F4-BCE7-F328F5504186}" type="TxLink">
            <a:rPr lang="en-US" sz="1100" b="0" i="0" u="none" strike="noStrike">
              <a:solidFill>
                <a:schemeClr val="tx1"/>
              </a:solidFill>
              <a:latin typeface="Aptos Narrow"/>
              <a:cs typeface="Calibri"/>
            </a:rPr>
            <a:pPr/>
            <a:t>New Clients</a:t>
          </a:fld>
          <a:endParaRPr lang="en-US" sz="2400" b="0">
            <a:solidFill>
              <a:schemeClr val="tx1"/>
            </a:solidFill>
            <a:latin typeface="Aptos Narrow"/>
          </a:endParaRPr>
        </a:p>
      </xdr:txBody>
    </xdr:sp>
    <xdr:clientData/>
  </xdr:twoCellAnchor>
  <xdr:twoCellAnchor>
    <xdr:from>
      <xdr:col>19</xdr:col>
      <xdr:colOff>564467</xdr:colOff>
      <xdr:row>14</xdr:row>
      <xdr:rowOff>79773</xdr:rowOff>
    </xdr:from>
    <xdr:to>
      <xdr:col>21</xdr:col>
      <xdr:colOff>392910</xdr:colOff>
      <xdr:row>16</xdr:row>
      <xdr:rowOff>0</xdr:rowOff>
    </xdr:to>
    <xdr:sp macro="" textlink="Proccessing!H1">
      <xdr:nvSpPr>
        <xdr:cNvPr id="21" name="TextBox 20"/>
        <xdr:cNvSpPr txBox="1"/>
      </xdr:nvSpPr>
      <xdr:spPr>
        <a:xfrm>
          <a:off x="12146867" y="2746773"/>
          <a:ext cx="1047643"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36B557-54DE-431E-91F2-67534FA81EF4}" type="TxLink">
            <a:rPr lang="en-US" sz="1100" b="0" i="0" u="none" strike="noStrike">
              <a:solidFill>
                <a:schemeClr val="tx1"/>
              </a:solidFill>
              <a:latin typeface="Calibri"/>
              <a:cs typeface="Calibri"/>
            </a:rPr>
            <a:pPr/>
            <a:t>Regular Clients</a:t>
          </a:fld>
          <a:endParaRPr lang="en-US" sz="2400" b="0">
            <a:solidFill>
              <a:schemeClr val="tx1"/>
            </a:solidFill>
            <a:latin typeface="Aptos Narrow"/>
          </a:endParaRPr>
        </a:p>
      </xdr:txBody>
    </xdr:sp>
    <xdr:clientData/>
  </xdr:twoCellAnchor>
  <xdr:twoCellAnchor>
    <xdr:from>
      <xdr:col>18</xdr:col>
      <xdr:colOff>362056</xdr:colOff>
      <xdr:row>14</xdr:row>
      <xdr:rowOff>55960</xdr:rowOff>
    </xdr:from>
    <xdr:to>
      <xdr:col>19</xdr:col>
      <xdr:colOff>416719</xdr:colOff>
      <xdr:row>15</xdr:row>
      <xdr:rowOff>166688</xdr:rowOff>
    </xdr:to>
    <xdr:sp macro="" textlink="Proccessing!K14">
      <xdr:nvSpPr>
        <xdr:cNvPr id="22" name="TextBox 21"/>
        <xdr:cNvSpPr txBox="1"/>
      </xdr:nvSpPr>
      <xdr:spPr>
        <a:xfrm>
          <a:off x="11334856" y="2722960"/>
          <a:ext cx="664263"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1D93B16-2832-4F33-8C42-A54069A6B30D}" type="TxLink">
            <a:rPr lang="en-US" sz="1100" b="0" i="0" u="none" strike="noStrike">
              <a:solidFill>
                <a:srgbClr val="51F52B"/>
              </a:solidFill>
              <a:latin typeface="Calibri"/>
              <a:cs typeface="Calibri"/>
            </a:rPr>
            <a:pPr/>
            <a:t>9488</a:t>
          </a:fld>
          <a:endParaRPr lang="en-US" sz="2400" b="0">
            <a:solidFill>
              <a:srgbClr val="51F52B"/>
            </a:solidFill>
            <a:latin typeface="Aptos Narrow"/>
          </a:endParaRPr>
        </a:p>
      </xdr:txBody>
    </xdr:sp>
    <xdr:clientData/>
  </xdr:twoCellAnchor>
  <xdr:twoCellAnchor>
    <xdr:from>
      <xdr:col>21</xdr:col>
      <xdr:colOff>421590</xdr:colOff>
      <xdr:row>14</xdr:row>
      <xdr:rowOff>79773</xdr:rowOff>
    </xdr:from>
    <xdr:to>
      <xdr:col>22</xdr:col>
      <xdr:colOff>464345</xdr:colOff>
      <xdr:row>16</xdr:row>
      <xdr:rowOff>0</xdr:rowOff>
    </xdr:to>
    <xdr:sp macro="" textlink="Proccessing!L14">
      <xdr:nvSpPr>
        <xdr:cNvPr id="23" name="TextBox 22"/>
        <xdr:cNvSpPr txBox="1"/>
      </xdr:nvSpPr>
      <xdr:spPr>
        <a:xfrm>
          <a:off x="13223190" y="2746773"/>
          <a:ext cx="652355"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656BC0-B3ED-405C-A758-9A68B8EFA30B}" type="TxLink">
            <a:rPr lang="en-US" sz="1100" b="0" i="0" u="none" strike="noStrike">
              <a:solidFill>
                <a:srgbClr val="8439BD"/>
              </a:solidFill>
              <a:latin typeface="Calibri"/>
              <a:cs typeface="Calibri"/>
            </a:rPr>
            <a:pPr/>
            <a:t>8790</a:t>
          </a:fld>
          <a:endParaRPr lang="en-US" sz="2400" b="0">
            <a:solidFill>
              <a:srgbClr val="8439BD"/>
            </a:solidFill>
            <a:latin typeface="Aptos Narrow"/>
          </a:endParaRPr>
        </a:p>
      </xdr:txBody>
    </xdr:sp>
    <xdr:clientData/>
  </xdr:twoCellAnchor>
  <xdr:twoCellAnchor>
    <xdr:from>
      <xdr:col>4</xdr:col>
      <xdr:colOff>535781</xdr:colOff>
      <xdr:row>32</xdr:row>
      <xdr:rowOff>118109</xdr:rowOff>
    </xdr:from>
    <xdr:to>
      <xdr:col>8</xdr:col>
      <xdr:colOff>154306</xdr:colOff>
      <xdr:row>42</xdr:row>
      <xdr:rowOff>82390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457993</xdr:colOff>
      <xdr:row>32</xdr:row>
      <xdr:rowOff>102870</xdr:rowOff>
    </xdr:from>
    <xdr:to>
      <xdr:col>12</xdr:col>
      <xdr:colOff>76518</xdr:colOff>
      <xdr:row>42</xdr:row>
      <xdr:rowOff>67151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384176</xdr:colOff>
      <xdr:row>32</xdr:row>
      <xdr:rowOff>118109</xdr:rowOff>
    </xdr:from>
    <xdr:to>
      <xdr:col>16</xdr:col>
      <xdr:colOff>2701</xdr:colOff>
      <xdr:row>42</xdr:row>
      <xdr:rowOff>82390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464344</xdr:colOff>
      <xdr:row>37</xdr:row>
      <xdr:rowOff>104777</xdr:rowOff>
    </xdr:from>
    <xdr:to>
      <xdr:col>7</xdr:col>
      <xdr:colOff>214312</xdr:colOff>
      <xdr:row>39</xdr:row>
      <xdr:rowOff>47627</xdr:rowOff>
    </xdr:to>
    <xdr:sp macro="" textlink="Proccessing!Q11">
      <xdr:nvSpPr>
        <xdr:cNvPr id="27" name="TextBox 26"/>
        <xdr:cNvSpPr txBox="1"/>
      </xdr:nvSpPr>
      <xdr:spPr>
        <a:xfrm>
          <a:off x="3512344" y="7153277"/>
          <a:ext cx="96916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EDA9CF-AA5D-41BC-AA7C-FC4A74CAC6E2}" type="TxLink">
            <a:rPr lang="en-US" sz="2000" b="0" i="0" u="none" strike="noStrike">
              <a:solidFill>
                <a:srgbClr val="51F52B"/>
              </a:solidFill>
              <a:latin typeface="Calibri"/>
              <a:cs typeface="Calibri"/>
            </a:rPr>
            <a:pPr algn="ctr"/>
            <a:t>58%</a:t>
          </a:fld>
          <a:endParaRPr lang="en-US" sz="2000" b="1">
            <a:solidFill>
              <a:srgbClr val="51F52B"/>
            </a:solidFill>
            <a:latin typeface="Aptos Narrow"/>
          </a:endParaRPr>
        </a:p>
      </xdr:txBody>
    </xdr:sp>
    <xdr:clientData/>
  </xdr:twoCellAnchor>
  <xdr:twoCellAnchor>
    <xdr:from>
      <xdr:col>9</xdr:col>
      <xdr:colOff>408385</xdr:colOff>
      <xdr:row>37</xdr:row>
      <xdr:rowOff>66678</xdr:rowOff>
    </xdr:from>
    <xdr:to>
      <xdr:col>11</xdr:col>
      <xdr:colOff>113109</xdr:colOff>
      <xdr:row>39</xdr:row>
      <xdr:rowOff>2918</xdr:rowOff>
    </xdr:to>
    <xdr:sp macro="" textlink="Proccessing!Q12">
      <xdr:nvSpPr>
        <xdr:cNvPr id="28" name="TextBox 27"/>
        <xdr:cNvSpPr txBox="1"/>
      </xdr:nvSpPr>
      <xdr:spPr>
        <a:xfrm>
          <a:off x="5894785" y="7115178"/>
          <a:ext cx="923924" cy="31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D77A2-37E4-4D05-97DE-65C60EC2967E}" type="TxLink">
            <a:rPr lang="en-US" sz="2000" b="0" i="0" u="none" strike="noStrike">
              <a:solidFill>
                <a:srgbClr val="8439BD"/>
              </a:solidFill>
              <a:latin typeface="Calibri"/>
              <a:cs typeface="Calibri"/>
            </a:rPr>
            <a:pPr algn="ctr"/>
            <a:t>60%</a:t>
          </a:fld>
          <a:endParaRPr lang="en-US" sz="2000" b="1">
            <a:solidFill>
              <a:srgbClr val="8439BD"/>
            </a:solidFill>
            <a:latin typeface="Aptos Narrow"/>
          </a:endParaRPr>
        </a:p>
      </xdr:txBody>
    </xdr:sp>
    <xdr:clientData/>
  </xdr:twoCellAnchor>
  <xdr:twoCellAnchor>
    <xdr:from>
      <xdr:col>13</xdr:col>
      <xdr:colOff>378619</xdr:colOff>
      <xdr:row>37</xdr:row>
      <xdr:rowOff>102397</xdr:rowOff>
    </xdr:from>
    <xdr:to>
      <xdr:col>15</xdr:col>
      <xdr:colOff>47625</xdr:colOff>
      <xdr:row>39</xdr:row>
      <xdr:rowOff>35720</xdr:rowOff>
    </xdr:to>
    <xdr:sp macro="" textlink="Proccessing!Q13">
      <xdr:nvSpPr>
        <xdr:cNvPr id="29" name="TextBox 28"/>
        <xdr:cNvSpPr txBox="1"/>
      </xdr:nvSpPr>
      <xdr:spPr>
        <a:xfrm>
          <a:off x="8303419" y="7150897"/>
          <a:ext cx="888206" cy="314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ABF5F-8A2A-4448-A36A-BC1DD0DEDB9C}" type="TxLink">
            <a:rPr lang="en-US" sz="2000" b="0" i="0" u="none" strike="noStrike">
              <a:solidFill>
                <a:srgbClr val="65A5CD"/>
              </a:solidFill>
              <a:latin typeface="Calibri"/>
              <a:cs typeface="Calibri"/>
            </a:rPr>
            <a:pPr algn="ctr"/>
            <a:t>62%</a:t>
          </a:fld>
          <a:endParaRPr lang="en-US" sz="2000" b="1">
            <a:solidFill>
              <a:srgbClr val="65A5CD"/>
            </a:solidFill>
            <a:latin typeface="Aptos Narrow"/>
          </a:endParaRPr>
        </a:p>
      </xdr:txBody>
    </xdr:sp>
    <xdr:clientData/>
  </xdr:twoCellAnchor>
  <xdr:twoCellAnchor>
    <xdr:from>
      <xdr:col>5</xdr:col>
      <xdr:colOff>464344</xdr:colOff>
      <xdr:row>35</xdr:row>
      <xdr:rowOff>45244</xdr:rowOff>
    </xdr:from>
    <xdr:to>
      <xdr:col>7</xdr:col>
      <xdr:colOff>226805</xdr:colOff>
      <xdr:row>37</xdr:row>
      <xdr:rowOff>94506</xdr:rowOff>
    </xdr:to>
    <xdr:sp macro="" textlink="">
      <xdr:nvSpPr>
        <xdr:cNvPr id="30" name="TextBox 29"/>
        <xdr:cNvSpPr txBox="1"/>
      </xdr:nvSpPr>
      <xdr:spPr>
        <a:xfrm>
          <a:off x="3512344" y="6712744"/>
          <a:ext cx="981661" cy="4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C</a:t>
          </a:r>
        </a:p>
      </xdr:txBody>
    </xdr:sp>
    <xdr:clientData/>
  </xdr:twoCellAnchor>
  <xdr:twoCellAnchor>
    <xdr:from>
      <xdr:col>9</xdr:col>
      <xdr:colOff>408385</xdr:colOff>
      <xdr:row>35</xdr:row>
      <xdr:rowOff>19051</xdr:rowOff>
    </xdr:from>
    <xdr:to>
      <xdr:col>11</xdr:col>
      <xdr:colOff>125016</xdr:colOff>
      <xdr:row>37</xdr:row>
      <xdr:rowOff>59531</xdr:rowOff>
    </xdr:to>
    <xdr:sp macro="" textlink="">
      <xdr:nvSpPr>
        <xdr:cNvPr id="31" name="TextBox 30"/>
        <xdr:cNvSpPr txBox="1"/>
      </xdr:nvSpPr>
      <xdr:spPr>
        <a:xfrm>
          <a:off x="5894785" y="6686551"/>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R</a:t>
          </a:r>
        </a:p>
      </xdr:txBody>
    </xdr:sp>
    <xdr:clientData/>
  </xdr:twoCellAnchor>
  <xdr:twoCellAnchor>
    <xdr:from>
      <xdr:col>13</xdr:col>
      <xdr:colOff>342901</xdr:colOff>
      <xdr:row>35</xdr:row>
      <xdr:rowOff>42864</xdr:rowOff>
    </xdr:from>
    <xdr:to>
      <xdr:col>15</xdr:col>
      <xdr:colOff>59532</xdr:colOff>
      <xdr:row>37</xdr:row>
      <xdr:rowOff>83344</xdr:rowOff>
    </xdr:to>
    <xdr:sp macro="" textlink="">
      <xdr:nvSpPr>
        <xdr:cNvPr id="32" name="TextBox 31"/>
        <xdr:cNvSpPr txBox="1"/>
      </xdr:nvSpPr>
      <xdr:spPr>
        <a:xfrm>
          <a:off x="8267701" y="6710364"/>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tx1"/>
              </a:solidFill>
              <a:latin typeface="Georgia" panose="02040502050405020303" pitchFamily="18" charset="0"/>
              <a:cs typeface="Calibri"/>
            </a:rPr>
            <a:t>M</a:t>
          </a:r>
        </a:p>
      </xdr:txBody>
    </xdr:sp>
    <xdr:clientData/>
  </xdr:twoCellAnchor>
  <xdr:twoCellAnchor>
    <xdr:from>
      <xdr:col>5</xdr:col>
      <xdr:colOff>416720</xdr:colOff>
      <xdr:row>38</xdr:row>
      <xdr:rowOff>92872</xdr:rowOff>
    </xdr:from>
    <xdr:to>
      <xdr:col>7</xdr:col>
      <xdr:colOff>270668</xdr:colOff>
      <xdr:row>40</xdr:row>
      <xdr:rowOff>84790</xdr:rowOff>
    </xdr:to>
    <xdr:sp macro="" textlink="Proccessing!P11">
      <xdr:nvSpPr>
        <xdr:cNvPr id="33" name="TextBox 32"/>
        <xdr:cNvSpPr txBox="1"/>
      </xdr:nvSpPr>
      <xdr:spPr>
        <a:xfrm>
          <a:off x="3464720" y="7331872"/>
          <a:ext cx="1073148" cy="372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33CAC-2C6C-4DD5-B867-AFD6493121BB}" type="TxLink">
            <a:rPr lang="en-US" sz="1100" b="1" i="0" u="none" strike="noStrike">
              <a:solidFill>
                <a:schemeClr val="tx1"/>
              </a:solidFill>
              <a:latin typeface="Calibri"/>
              <a:cs typeface="Calibri"/>
            </a:rPr>
            <a:pPr algn="ctr"/>
            <a:t>Customer</a:t>
          </a:fld>
          <a:endParaRPr lang="en-US" sz="2000" b="1">
            <a:solidFill>
              <a:schemeClr val="tx1"/>
            </a:solidFill>
            <a:latin typeface="Aptos Narrow"/>
          </a:endParaRPr>
        </a:p>
      </xdr:txBody>
    </xdr:sp>
    <xdr:clientData/>
  </xdr:twoCellAnchor>
  <xdr:twoCellAnchor>
    <xdr:from>
      <xdr:col>9</xdr:col>
      <xdr:colOff>360761</xdr:colOff>
      <xdr:row>38</xdr:row>
      <xdr:rowOff>54772</xdr:rowOff>
    </xdr:from>
    <xdr:to>
      <xdr:col>11</xdr:col>
      <xdr:colOff>164587</xdr:colOff>
      <xdr:row>40</xdr:row>
      <xdr:rowOff>39079</xdr:rowOff>
    </xdr:to>
    <xdr:sp macro="" textlink="Proccessing!P12">
      <xdr:nvSpPr>
        <xdr:cNvPr id="34" name="TextBox 33"/>
        <xdr:cNvSpPr txBox="1"/>
      </xdr:nvSpPr>
      <xdr:spPr>
        <a:xfrm>
          <a:off x="5847161" y="7293772"/>
          <a:ext cx="1023026" cy="365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B5AAF-95EF-4419-88CB-135D568731B3}" type="TxLink">
            <a:rPr lang="en-US" sz="1100" b="1" i="0" u="none" strike="noStrike">
              <a:solidFill>
                <a:schemeClr val="tx1"/>
              </a:solidFill>
              <a:latin typeface="Calibri"/>
              <a:cs typeface="Calibri"/>
            </a:rPr>
            <a:pPr algn="ctr"/>
            <a:t>Relationship</a:t>
          </a:fld>
          <a:endParaRPr lang="en-US" sz="2000" b="1">
            <a:solidFill>
              <a:schemeClr val="tx1"/>
            </a:solidFill>
            <a:latin typeface="Aptos Narrow"/>
          </a:endParaRPr>
        </a:p>
      </xdr:txBody>
    </xdr:sp>
    <xdr:clientData/>
  </xdr:twoCellAnchor>
  <xdr:twoCellAnchor>
    <xdr:from>
      <xdr:col>13</xdr:col>
      <xdr:colOff>330995</xdr:colOff>
      <xdr:row>38</xdr:row>
      <xdr:rowOff>90492</xdr:rowOff>
    </xdr:from>
    <xdr:to>
      <xdr:col>15</xdr:col>
      <xdr:colOff>95252</xdr:colOff>
      <xdr:row>40</xdr:row>
      <xdr:rowOff>71440</xdr:rowOff>
    </xdr:to>
    <xdr:sp macro="" textlink="Proccessing!P13">
      <xdr:nvSpPr>
        <xdr:cNvPr id="35" name="TextBox 34"/>
        <xdr:cNvSpPr txBox="1"/>
      </xdr:nvSpPr>
      <xdr:spPr>
        <a:xfrm>
          <a:off x="8255795" y="7329492"/>
          <a:ext cx="983457" cy="36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EFF7D-92A9-4950-94C6-C800E610ADA1}" type="TxLink">
            <a:rPr lang="en-US" sz="1100" b="1" i="0" u="none" strike="noStrike">
              <a:solidFill>
                <a:schemeClr val="tx1"/>
              </a:solidFill>
              <a:latin typeface="Calibri"/>
              <a:cs typeface="Calibri"/>
            </a:rPr>
            <a:pPr algn="ctr"/>
            <a:t>Management</a:t>
          </a:fld>
          <a:endParaRPr lang="en-US" sz="2000" b="1">
            <a:solidFill>
              <a:schemeClr val="tx1"/>
            </a:solidFill>
            <a:latin typeface="Aptos Narrow"/>
          </a:endParaRPr>
        </a:p>
      </xdr:txBody>
    </xdr:sp>
    <xdr:clientData/>
  </xdr:twoCellAnchor>
  <xdr:twoCellAnchor>
    <xdr:from>
      <xdr:col>17</xdr:col>
      <xdr:colOff>41779</xdr:colOff>
      <xdr:row>29</xdr:row>
      <xdr:rowOff>22410</xdr:rowOff>
    </xdr:from>
    <xdr:to>
      <xdr:col>22</xdr:col>
      <xdr:colOff>500589</xdr:colOff>
      <xdr:row>40</xdr:row>
      <xdr:rowOff>134469</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170332</xdr:colOff>
      <xdr:row>28</xdr:row>
      <xdr:rowOff>145677</xdr:rowOff>
    </xdr:from>
    <xdr:to>
      <xdr:col>22</xdr:col>
      <xdr:colOff>372037</xdr:colOff>
      <xdr:row>41</xdr:row>
      <xdr:rowOff>123264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120390</xdr:colOff>
      <xdr:row>27</xdr:row>
      <xdr:rowOff>111990</xdr:rowOff>
    </xdr:from>
    <xdr:to>
      <xdr:col>18</xdr:col>
      <xdr:colOff>448897</xdr:colOff>
      <xdr:row>29</xdr:row>
      <xdr:rowOff>32218</xdr:rowOff>
    </xdr:to>
    <xdr:sp macro="" textlink="Proccessing!P1">
      <xdr:nvSpPr>
        <xdr:cNvPr id="38" name="TextBox 37"/>
        <xdr:cNvSpPr txBox="1"/>
      </xdr:nvSpPr>
      <xdr:spPr>
        <a:xfrm>
          <a:off x="10483590" y="525549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2B463-C417-4387-ADCD-DED7BA437E68}" type="TxLink">
            <a:rPr lang="en-US" sz="1100" b="0" i="0" u="none" strike="noStrike">
              <a:solidFill>
                <a:srgbClr val="000000"/>
              </a:solidFill>
              <a:latin typeface="Calibri"/>
              <a:cs typeface="Calibri"/>
            </a:rPr>
            <a:pPr/>
            <a:t>Point of Sale</a:t>
          </a:fld>
          <a:endParaRPr lang="en-US" sz="2400" b="0">
            <a:solidFill>
              <a:schemeClr val="tx1"/>
            </a:solidFill>
            <a:latin typeface="Aptos Narrow"/>
          </a:endParaRPr>
        </a:p>
      </xdr:txBody>
    </xdr:sp>
    <xdr:clientData/>
  </xdr:twoCellAnchor>
  <xdr:twoCellAnchor>
    <xdr:from>
      <xdr:col>20</xdr:col>
      <xdr:colOff>593911</xdr:colOff>
      <xdr:row>27</xdr:row>
      <xdr:rowOff>100784</xdr:rowOff>
    </xdr:from>
    <xdr:to>
      <xdr:col>21</xdr:col>
      <xdr:colOff>448895</xdr:colOff>
      <xdr:row>29</xdr:row>
      <xdr:rowOff>21012</xdr:rowOff>
    </xdr:to>
    <xdr:sp macro="" textlink="Proccessing!Q1">
      <xdr:nvSpPr>
        <xdr:cNvPr id="39" name="TextBox 38"/>
        <xdr:cNvSpPr txBox="1"/>
      </xdr:nvSpPr>
      <xdr:spPr>
        <a:xfrm>
          <a:off x="12785911" y="5244284"/>
          <a:ext cx="464584"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D320050-B1A6-44B6-BDB1-6C6ABB139E09}" type="TxLink">
            <a:rPr lang="en-US" sz="1100" b="0" i="0" u="none" strike="noStrike">
              <a:solidFill>
                <a:srgbClr val="000000"/>
              </a:solidFill>
              <a:latin typeface="Calibri"/>
              <a:cs typeface="Calibri"/>
            </a:rPr>
            <a:pPr algn="r"/>
            <a:t>KPI</a:t>
          </a:fld>
          <a:endParaRPr lang="en-US" sz="2400" b="0">
            <a:solidFill>
              <a:schemeClr val="tx1"/>
            </a:solidFill>
            <a:latin typeface="Aptos Narrow"/>
          </a:endParaRPr>
        </a:p>
      </xdr:txBody>
    </xdr:sp>
    <xdr:clientData/>
  </xdr:twoCellAnchor>
  <xdr:twoCellAnchor>
    <xdr:from>
      <xdr:col>21</xdr:col>
      <xdr:colOff>56029</xdr:colOff>
      <xdr:row>28</xdr:row>
      <xdr:rowOff>190431</xdr:rowOff>
    </xdr:from>
    <xdr:to>
      <xdr:col>21</xdr:col>
      <xdr:colOff>516131</xdr:colOff>
      <xdr:row>30</xdr:row>
      <xdr:rowOff>110659</xdr:rowOff>
    </xdr:to>
    <xdr:sp macro="" textlink="Proccessing!R1">
      <xdr:nvSpPr>
        <xdr:cNvPr id="40" name="TextBox 39"/>
        <xdr:cNvSpPr txBox="1"/>
      </xdr:nvSpPr>
      <xdr:spPr>
        <a:xfrm>
          <a:off x="12857629" y="5524431"/>
          <a:ext cx="460102"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C1F490-BE9E-4B0D-B641-4D0E4D7B13AA}" type="TxLink">
            <a:rPr lang="en-US" sz="1100" b="0" i="0" u="none" strike="noStrike">
              <a:solidFill>
                <a:srgbClr val="000000"/>
              </a:solidFill>
              <a:latin typeface="Calibri"/>
              <a:cs typeface="Calibri"/>
            </a:rPr>
            <a:pPr algn="r"/>
            <a:t>Cost</a:t>
          </a:fld>
          <a:endParaRPr lang="en-US" sz="2400" b="0">
            <a:solidFill>
              <a:schemeClr val="tx1"/>
            </a:solidFill>
            <a:latin typeface="Aptos Narrow"/>
          </a:endParaRPr>
        </a:p>
      </xdr:txBody>
    </xdr:sp>
    <xdr:clientData/>
  </xdr:twoCellAnchor>
  <xdr:twoCellAnchor>
    <xdr:from>
      <xdr:col>21</xdr:col>
      <xdr:colOff>448235</xdr:colOff>
      <xdr:row>27</xdr:row>
      <xdr:rowOff>190499</xdr:rowOff>
    </xdr:from>
    <xdr:to>
      <xdr:col>21</xdr:col>
      <xdr:colOff>585395</xdr:colOff>
      <xdr:row>28</xdr:row>
      <xdr:rowOff>137159</xdr:rowOff>
    </xdr:to>
    <xdr:sp macro="" textlink="">
      <xdr:nvSpPr>
        <xdr:cNvPr id="41" name="Oval 40"/>
        <xdr:cNvSpPr/>
      </xdr:nvSpPr>
      <xdr:spPr>
        <a:xfrm>
          <a:off x="13249835" y="5333999"/>
          <a:ext cx="137160" cy="137160"/>
        </a:xfrm>
        <a:prstGeom prst="ellipse">
          <a:avLst/>
        </a:prstGeom>
        <a:noFill/>
        <a:ln>
          <a:solidFill>
            <a:srgbClr val="5BF6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448235</xdr:colOff>
      <xdr:row>29</xdr:row>
      <xdr:rowOff>73957</xdr:rowOff>
    </xdr:from>
    <xdr:to>
      <xdr:col>21</xdr:col>
      <xdr:colOff>585395</xdr:colOff>
      <xdr:row>30</xdr:row>
      <xdr:rowOff>20617</xdr:rowOff>
    </xdr:to>
    <xdr:sp macro="" textlink="">
      <xdr:nvSpPr>
        <xdr:cNvPr id="42" name="Oval 41"/>
        <xdr:cNvSpPr/>
      </xdr:nvSpPr>
      <xdr:spPr>
        <a:xfrm>
          <a:off x="13249835" y="5598457"/>
          <a:ext cx="137160" cy="137160"/>
        </a:xfrm>
        <a:prstGeom prst="ellipse">
          <a:avLst/>
        </a:prstGeom>
        <a:noFill/>
        <a:ln>
          <a:solidFill>
            <a:srgbClr val="8439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504825</xdr:colOff>
      <xdr:row>8</xdr:row>
      <xdr:rowOff>180976</xdr:rowOff>
    </xdr:from>
    <xdr:to>
      <xdr:col>11</xdr:col>
      <xdr:colOff>438150</xdr:colOff>
      <xdr:row>13</xdr:row>
      <xdr:rowOff>104776</xdr:rowOff>
    </xdr:to>
    <xdr:sp macro="" textlink="">
      <xdr:nvSpPr>
        <xdr:cNvPr id="43" name="TextBox 42"/>
        <xdr:cNvSpPr txBox="1"/>
      </xdr:nvSpPr>
      <xdr:spPr>
        <a:xfrm>
          <a:off x="2943225" y="1704976"/>
          <a:ext cx="42005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b="0" i="0" u="none" strike="noStrike">
              <a:solidFill>
                <a:schemeClr val="tx1"/>
              </a:solidFill>
              <a:latin typeface="Georgia" panose="02040502050405020303" pitchFamily="18" charset="0"/>
              <a:ea typeface="+mn-ea"/>
              <a:cs typeface="Calibri"/>
            </a:rPr>
            <a:t>CRM </a:t>
          </a:r>
          <a:r>
            <a:rPr lang="en-US" sz="3500" b="0" i="0" u="none" strike="noStrike">
              <a:solidFill>
                <a:schemeClr val="tx1"/>
              </a:solidFill>
              <a:latin typeface="Georgia" panose="02040502050405020303" pitchFamily="18" charset="0"/>
              <a:ea typeface="+mn-ea"/>
              <a:cs typeface="Calibri"/>
            </a:rPr>
            <a:t>Dashboard</a:t>
          </a:r>
        </a:p>
      </xdr:txBody>
    </xdr:sp>
    <xdr:clientData/>
  </xdr:twoCellAnchor>
  <xdr:twoCellAnchor editAs="oneCell">
    <xdr:from>
      <xdr:col>5</xdr:col>
      <xdr:colOff>272940</xdr:colOff>
      <xdr:row>27</xdr:row>
      <xdr:rowOff>157984</xdr:rowOff>
    </xdr:from>
    <xdr:to>
      <xdr:col>15</xdr:col>
      <xdr:colOff>476250</xdr:colOff>
      <xdr:row>30</xdr:row>
      <xdr:rowOff>24633</xdr:rowOff>
    </xdr:to>
    <mc:AlternateContent xmlns:mc="http://schemas.openxmlformats.org/markup-compatibility/2006" xmlns:a14="http://schemas.microsoft.com/office/drawing/2010/main">
      <mc:Choice Requires="a14">
        <xdr:graphicFrame macro="">
          <xdr:nvGraphicFramePr>
            <xdr:cNvPr id="1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325825" y="5433369"/>
              <a:ext cx="6309079" cy="452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36635</xdr:colOff>
      <xdr:row>13</xdr:row>
      <xdr:rowOff>146539</xdr:rowOff>
    </xdr:from>
    <xdr:to>
      <xdr:col>22</xdr:col>
      <xdr:colOff>439616</xdr:colOff>
      <xdr:row>25</xdr:row>
      <xdr:rowOff>85481</xdr:rowOff>
    </xdr:to>
    <xdr:sp macro="" textlink="">
      <xdr:nvSpPr>
        <xdr:cNvPr id="44" name="Rectangle 43">
          <a:hlinkClick xmlns:r="http://schemas.openxmlformats.org/officeDocument/2006/relationships" r:id="rId8"/>
        </xdr:cNvPr>
        <xdr:cNvSpPr/>
      </xdr:nvSpPr>
      <xdr:spPr>
        <a:xfrm>
          <a:off x="10416443" y="2686539"/>
          <a:ext cx="3455865" cy="2283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348143</xdr:colOff>
      <xdr:row>10</xdr:row>
      <xdr:rowOff>115420</xdr:rowOff>
    </xdr:from>
    <xdr:to>
      <xdr:col>21</xdr:col>
      <xdr:colOff>84008</xdr:colOff>
      <xdr:row>12</xdr:row>
      <xdr:rowOff>122917</xdr:rowOff>
    </xdr:to>
    <xdr:pic>
      <xdr:nvPicPr>
        <xdr:cNvPr id="46" name="Picture 45">
          <a:hlinkClick xmlns:r="http://schemas.openxmlformats.org/officeDocument/2006/relationships" r:id="rId9"/>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0" b="99628" l="0" r="100000"/>
                  </a14:imgEffect>
                  <a14:imgEffect>
                    <a14:saturation sat="0"/>
                  </a14:imgEffect>
                </a14:imgLayer>
              </a14:imgProps>
            </a:ext>
          </a:extLst>
        </a:blip>
        <a:stretch>
          <a:fillRect/>
        </a:stretch>
      </xdr:blipFill>
      <xdr:spPr>
        <a:xfrm>
          <a:off x="12624810" y="2020420"/>
          <a:ext cx="349698" cy="388497"/>
        </a:xfrm>
        <a:prstGeom prst="rect">
          <a:avLst/>
        </a:prstGeom>
      </xdr:spPr>
    </xdr:pic>
    <xdr:clientData/>
  </xdr:twoCellAnchor>
  <xdr:twoCellAnchor editAs="oneCell">
    <xdr:from>
      <xdr:col>1</xdr:col>
      <xdr:colOff>0</xdr:colOff>
      <xdr:row>8</xdr:row>
      <xdr:rowOff>0</xdr:rowOff>
    </xdr:from>
    <xdr:to>
      <xdr:col>1</xdr:col>
      <xdr:colOff>304800</xdr:colOff>
      <xdr:row>9</xdr:row>
      <xdr:rowOff>114300</xdr:rowOff>
    </xdr:to>
    <xdr:sp macro="" textlink="">
      <xdr:nvSpPr>
        <xdr:cNvPr id="3075" name="AutoShape 3" descr="Sun icon. Vector Stock Vector Image by ©mcherevan #3840930"/>
        <xdr:cNvSpPr>
          <a:spLocks noChangeAspect="1" noChangeArrowheads="1"/>
        </xdr:cNvSpPr>
      </xdr:nvSpPr>
      <xdr:spPr bwMode="auto">
        <a:xfrm>
          <a:off x="60960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54242</xdr:colOff>
      <xdr:row>10</xdr:row>
      <xdr:rowOff>125463</xdr:rowOff>
    </xdr:from>
    <xdr:to>
      <xdr:col>19</xdr:col>
      <xdr:colOff>421352</xdr:colOff>
      <xdr:row>12</xdr:row>
      <xdr:rowOff>112873</xdr:rowOff>
    </xdr:to>
    <xdr:pic>
      <xdr:nvPicPr>
        <xdr:cNvPr id="49" name="Picture 48" descr="Sun Icon, Transparent Sun.PNG Images &amp; Vector - FreeIconsPNG"/>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0" b="100000" l="0" r="100000"/>
                  </a14:imgEffect>
                </a14:imgLayer>
              </a14:imgProps>
            </a:ext>
            <a:ext uri="{28A0092B-C50C-407E-A947-70E740481C1C}">
              <a14:useLocalDpi xmlns:a14="http://schemas.microsoft.com/office/drawing/2010/main" val="0"/>
            </a:ext>
          </a:extLst>
        </a:blip>
        <a:srcRect/>
        <a:stretch>
          <a:fillRect/>
        </a:stretch>
      </xdr:blipFill>
      <xdr:spPr bwMode="auto">
        <a:xfrm>
          <a:off x="11717075" y="2030463"/>
          <a:ext cx="367110" cy="368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104774</xdr:rowOff>
    </xdr:from>
    <xdr:to>
      <xdr:col>13</xdr:col>
      <xdr:colOff>304800</xdr:colOff>
      <xdr:row>53</xdr:row>
      <xdr:rowOff>142874</xdr:rowOff>
    </xdr:to>
    <xdr:sp macro="" textlink="">
      <xdr:nvSpPr>
        <xdr:cNvPr id="2" name="Oval 1"/>
        <xdr:cNvSpPr/>
      </xdr:nvSpPr>
      <xdr:spPr>
        <a:xfrm>
          <a:off x="0" y="2009774"/>
          <a:ext cx="8229600" cy="8229600"/>
        </a:xfrm>
        <a:prstGeom prst="ellipse">
          <a:avLst/>
        </a:prstGeom>
        <a:solidFill>
          <a:srgbClr val="1032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184944</xdr:colOff>
      <xdr:row>3</xdr:row>
      <xdr:rowOff>57943</xdr:rowOff>
    </xdr:from>
    <xdr:to>
      <xdr:col>29</xdr:col>
      <xdr:colOff>489744</xdr:colOff>
      <xdr:row>36</xdr:row>
      <xdr:rowOff>172243</xdr:rowOff>
    </xdr:to>
    <xdr:sp macro="" textlink="">
      <xdr:nvSpPr>
        <xdr:cNvPr id="3" name="Oval 2"/>
        <xdr:cNvSpPr/>
      </xdr:nvSpPr>
      <xdr:spPr>
        <a:xfrm>
          <a:off x="11767344" y="629443"/>
          <a:ext cx="6400800" cy="6400800"/>
        </a:xfrm>
        <a:prstGeom prst="ellipse">
          <a:avLst/>
        </a:prstGeom>
        <a:solidFill>
          <a:srgbClr val="241B3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121443</xdr:colOff>
      <xdr:row>9</xdr:row>
      <xdr:rowOff>26193</xdr:rowOff>
    </xdr:from>
    <xdr:to>
      <xdr:col>23</xdr:col>
      <xdr:colOff>288607</xdr:colOff>
      <xdr:row>45</xdr:row>
      <xdr:rowOff>26193</xdr:rowOff>
    </xdr:to>
    <xdr:sp macro="" textlink="">
      <xdr:nvSpPr>
        <xdr:cNvPr id="4" name="Rounded Rectangle 3"/>
        <xdr:cNvSpPr/>
      </xdr:nvSpPr>
      <xdr:spPr>
        <a:xfrm>
          <a:off x="2559843" y="1740693"/>
          <a:ext cx="11749564" cy="6858000"/>
        </a:xfrm>
        <a:prstGeom prst="roundRect">
          <a:avLst>
            <a:gd name="adj" fmla="val 2605"/>
          </a:avLst>
        </a:prstGeom>
        <a:solidFill>
          <a:srgbClr val="5A6380">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435768</xdr:colOff>
      <xdr:row>13</xdr:row>
      <xdr:rowOff>105568</xdr:rowOff>
    </xdr:from>
    <xdr:to>
      <xdr:col>16</xdr:col>
      <xdr:colOff>54768</xdr:colOff>
      <xdr:row>30</xdr:row>
      <xdr:rowOff>158908</xdr:rowOff>
    </xdr:to>
    <xdr:sp macro="" textlink="">
      <xdr:nvSpPr>
        <xdr:cNvPr id="5" name="Rounded Rectangle 4"/>
        <xdr:cNvSpPr/>
      </xdr:nvSpPr>
      <xdr:spPr>
        <a:xfrm>
          <a:off x="2874168" y="2582068"/>
          <a:ext cx="6934200" cy="32918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13493</xdr:colOff>
      <xdr:row>13</xdr:row>
      <xdr:rowOff>105568</xdr:rowOff>
    </xdr:from>
    <xdr:to>
      <xdr:col>22</xdr:col>
      <xdr:colOff>471963</xdr:colOff>
      <xdr:row>25</xdr:row>
      <xdr:rowOff>105568</xdr:rowOff>
    </xdr:to>
    <xdr:sp macro="" textlink="">
      <xdr:nvSpPr>
        <xdr:cNvPr id="6" name="Rounded Rectangle 5"/>
        <xdr:cNvSpPr/>
      </xdr:nvSpPr>
      <xdr:spPr>
        <a:xfrm>
          <a:off x="10376693" y="2582068"/>
          <a:ext cx="3506470" cy="228600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41949</xdr:colOff>
      <xdr:row>27</xdr:row>
      <xdr:rowOff>45243</xdr:rowOff>
    </xdr:from>
    <xdr:to>
      <xdr:col>22</xdr:col>
      <xdr:colOff>500419</xdr:colOff>
      <xdr:row>42</xdr:row>
      <xdr:rowOff>113823</xdr:rowOff>
    </xdr:to>
    <xdr:sp macro="" textlink="">
      <xdr:nvSpPr>
        <xdr:cNvPr id="7" name="Rounded Rectangle 6"/>
        <xdr:cNvSpPr/>
      </xdr:nvSpPr>
      <xdr:spPr>
        <a:xfrm>
          <a:off x="10405149" y="5188743"/>
          <a:ext cx="3506470" cy="292608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521493</xdr:colOff>
      <xdr:row>32</xdr:row>
      <xdr:rowOff>73580</xdr:rowOff>
    </xdr:from>
    <xdr:to>
      <xdr:col>8</xdr:col>
      <xdr:colOff>165893</xdr:colOff>
      <xdr:row>42</xdr:row>
      <xdr:rowOff>88820</xdr:rowOff>
    </xdr:to>
    <xdr:sp macro="" textlink="">
      <xdr:nvSpPr>
        <xdr:cNvPr id="8" name="Rounded Rectangle 7"/>
        <xdr:cNvSpPr/>
      </xdr:nvSpPr>
      <xdr:spPr>
        <a:xfrm>
          <a:off x="2959893" y="616958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447041</xdr:colOff>
      <xdr:row>32</xdr:row>
      <xdr:rowOff>67150</xdr:rowOff>
    </xdr:from>
    <xdr:to>
      <xdr:col>12</xdr:col>
      <xdr:colOff>91441</xdr:colOff>
      <xdr:row>42</xdr:row>
      <xdr:rowOff>82390</xdr:rowOff>
    </xdr:to>
    <xdr:sp macro="" textlink="">
      <xdr:nvSpPr>
        <xdr:cNvPr id="9" name="Rounded Rectangle 8"/>
        <xdr:cNvSpPr/>
      </xdr:nvSpPr>
      <xdr:spPr>
        <a:xfrm>
          <a:off x="5323841" y="616315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410368</xdr:colOff>
      <xdr:row>32</xdr:row>
      <xdr:rowOff>67150</xdr:rowOff>
    </xdr:from>
    <xdr:to>
      <xdr:col>16</xdr:col>
      <xdr:colOff>54768</xdr:colOff>
      <xdr:row>42</xdr:row>
      <xdr:rowOff>82390</xdr:rowOff>
    </xdr:to>
    <xdr:sp macro="" textlink="">
      <xdr:nvSpPr>
        <xdr:cNvPr id="10" name="Rounded Rectangle 9"/>
        <xdr:cNvSpPr/>
      </xdr:nvSpPr>
      <xdr:spPr>
        <a:xfrm>
          <a:off x="7725568" y="616315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471652</xdr:colOff>
      <xdr:row>15</xdr:row>
      <xdr:rowOff>15874</xdr:rowOff>
    </xdr:from>
    <xdr:to>
      <xdr:col>16</xdr:col>
      <xdr:colOff>1</xdr:colOff>
      <xdr:row>29</xdr:row>
      <xdr:rowOff>110029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272940</xdr:colOff>
      <xdr:row>27</xdr:row>
      <xdr:rowOff>157984</xdr:rowOff>
    </xdr:from>
    <xdr:to>
      <xdr:col>15</xdr:col>
      <xdr:colOff>476250</xdr:colOff>
      <xdr:row>30</xdr:row>
      <xdr:rowOff>24633</xdr:rowOff>
    </xdr:to>
    <mc:AlternateContent xmlns:mc="http://schemas.openxmlformats.org/markup-compatibility/2006" xmlns:a14="http://schemas.microsoft.com/office/drawing/2010/main">
      <mc:Choice Requires="a14">
        <xdr:graphicFrame macro="">
          <xdr:nvGraphicFramePr>
            <xdr:cNvPr id="12"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3334547" y="5301484"/>
              <a:ext cx="6326524"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478633</xdr:colOff>
      <xdr:row>10</xdr:row>
      <xdr:rowOff>38100</xdr:rowOff>
    </xdr:from>
    <xdr:to>
      <xdr:col>18</xdr:col>
      <xdr:colOff>209550</xdr:colOff>
      <xdr:row>12</xdr:row>
      <xdr:rowOff>81643</xdr:rowOff>
    </xdr:to>
    <mc:AlternateContent xmlns:mc="http://schemas.openxmlformats.org/markup-compatibility/2006" xmlns:a14="http://schemas.microsoft.com/office/drawing/2010/main">
      <mc:Choice Requires="a14">
        <xdr:graphicFrame macro="">
          <xdr:nvGraphicFramePr>
            <xdr:cNvPr id="13"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13033" y="1943100"/>
              <a:ext cx="2169317" cy="424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428624</xdr:colOff>
      <xdr:row>14</xdr:row>
      <xdr:rowOff>9525</xdr:rowOff>
    </xdr:from>
    <xdr:to>
      <xdr:col>8</xdr:col>
      <xdr:colOff>337038</xdr:colOff>
      <xdr:row>15</xdr:row>
      <xdr:rowOff>95250</xdr:rowOff>
    </xdr:to>
    <xdr:sp macro="" textlink="'Proccessing (2)'!A1">
      <xdr:nvSpPr>
        <xdr:cNvPr id="14" name="TextBox 13"/>
        <xdr:cNvSpPr txBox="1"/>
      </xdr:nvSpPr>
      <xdr:spPr>
        <a:xfrm>
          <a:off x="3476624" y="2676525"/>
          <a:ext cx="17372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F6FE26-6A67-4D89-83EE-6C993C6D0365}" type="TxLink">
            <a:rPr lang="en-US" sz="1400" b="1" i="0" u="none" strike="noStrike">
              <a:solidFill>
                <a:schemeClr val="bg1"/>
              </a:solidFill>
              <a:latin typeface="Aptos Narrow"/>
              <a:cs typeface="Calibri"/>
            </a:rPr>
            <a:pPr/>
            <a:t>Customer Activity</a:t>
          </a:fld>
          <a:endParaRPr lang="en-US" sz="1400" b="1">
            <a:solidFill>
              <a:schemeClr val="bg1"/>
            </a:solidFill>
            <a:latin typeface="Aptos Narrow"/>
          </a:endParaRPr>
        </a:p>
      </xdr:txBody>
    </xdr:sp>
    <xdr:clientData/>
  </xdr:twoCellAnchor>
  <xdr:twoCellAnchor>
    <xdr:from>
      <xdr:col>8</xdr:col>
      <xdr:colOff>556847</xdr:colOff>
      <xdr:row>13</xdr:row>
      <xdr:rowOff>188511</xdr:rowOff>
    </xdr:from>
    <xdr:to>
      <xdr:col>11</xdr:col>
      <xdr:colOff>10259</xdr:colOff>
      <xdr:row>15</xdr:row>
      <xdr:rowOff>83736</xdr:rowOff>
    </xdr:to>
    <xdr:sp macro="" textlink="'Proccessing (2)'!B1">
      <xdr:nvSpPr>
        <xdr:cNvPr id="15" name="TextBox 14"/>
        <xdr:cNvSpPr txBox="1"/>
      </xdr:nvSpPr>
      <xdr:spPr>
        <a:xfrm>
          <a:off x="5433647" y="2665011"/>
          <a:ext cx="128221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965960-9042-401C-A624-A979D1B93D5C}" type="TxLink">
            <a:rPr lang="en-US" sz="1400" b="1" i="0" u="none" strike="noStrike">
              <a:solidFill>
                <a:schemeClr val="bg1"/>
              </a:solidFill>
              <a:latin typeface="Aptos Narrow"/>
              <a:cs typeface="Calibri"/>
            </a:rPr>
            <a:pPr/>
            <a:t>Active Client Count</a:t>
          </a:fld>
          <a:endParaRPr lang="en-US" sz="1800" b="1">
            <a:solidFill>
              <a:schemeClr val="bg1"/>
            </a:solidFill>
            <a:latin typeface="Aptos Narrow"/>
          </a:endParaRPr>
        </a:p>
      </xdr:txBody>
    </xdr:sp>
    <xdr:clientData/>
  </xdr:twoCellAnchor>
  <xdr:twoCellAnchor>
    <xdr:from>
      <xdr:col>12</xdr:col>
      <xdr:colOff>255814</xdr:colOff>
      <xdr:row>13</xdr:row>
      <xdr:rowOff>163116</xdr:rowOff>
    </xdr:from>
    <xdr:to>
      <xdr:col>14</xdr:col>
      <xdr:colOff>593479</xdr:colOff>
      <xdr:row>15</xdr:row>
      <xdr:rowOff>58341</xdr:rowOff>
    </xdr:to>
    <xdr:sp macro="" textlink="'Proccessing (2)'!C1">
      <xdr:nvSpPr>
        <xdr:cNvPr id="16" name="TextBox 15"/>
        <xdr:cNvSpPr txBox="1"/>
      </xdr:nvSpPr>
      <xdr:spPr>
        <a:xfrm>
          <a:off x="7571014" y="2639616"/>
          <a:ext cx="155686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E39CB-B774-43D7-BFA5-21E83B1DAD95}" type="TxLink">
            <a:rPr lang="en-US" sz="1400" b="1" i="0" u="none" strike="noStrike">
              <a:solidFill>
                <a:schemeClr val="bg1"/>
              </a:solidFill>
              <a:latin typeface="Aptos Narrow"/>
              <a:cs typeface="Calibri"/>
            </a:rPr>
            <a:pPr/>
            <a:t>Average Client Count</a:t>
          </a:fld>
          <a:endParaRPr lang="en-US" sz="2400" b="1">
            <a:solidFill>
              <a:schemeClr val="bg1"/>
            </a:solidFill>
            <a:latin typeface="Aptos Narrow"/>
          </a:endParaRPr>
        </a:p>
      </xdr:txBody>
    </xdr:sp>
    <xdr:clientData/>
  </xdr:twoCellAnchor>
  <xdr:twoCellAnchor>
    <xdr:from>
      <xdr:col>10</xdr:col>
      <xdr:colOff>589085</xdr:colOff>
      <xdr:row>14</xdr:row>
      <xdr:rowOff>25854</xdr:rowOff>
    </xdr:from>
    <xdr:to>
      <xdr:col>12</xdr:col>
      <xdr:colOff>58615</xdr:colOff>
      <xdr:row>15</xdr:row>
      <xdr:rowOff>51290</xdr:rowOff>
    </xdr:to>
    <xdr:sp macro="" textlink="'Proccessing (2)'!D14">
      <xdr:nvSpPr>
        <xdr:cNvPr id="17" name="TextBox 16"/>
        <xdr:cNvSpPr txBox="1"/>
      </xdr:nvSpPr>
      <xdr:spPr>
        <a:xfrm>
          <a:off x="6685085" y="2692854"/>
          <a:ext cx="688730"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A90424-79D1-4759-B607-D0B1B9F7AEAE}" type="TxLink">
            <a:rPr lang="en-US" sz="1400" b="1" i="0" u="none" strike="noStrike">
              <a:solidFill>
                <a:srgbClr val="51F52B"/>
              </a:solidFill>
              <a:latin typeface="Aptos Narrow"/>
              <a:cs typeface="Calibri"/>
            </a:rPr>
            <a:pPr/>
            <a:t>9952</a:t>
          </a:fld>
          <a:endParaRPr lang="en-US" sz="2400" b="1">
            <a:solidFill>
              <a:srgbClr val="51F52B"/>
            </a:solidFill>
            <a:latin typeface="Aptos Narrow"/>
          </a:endParaRPr>
        </a:p>
      </xdr:txBody>
    </xdr:sp>
    <xdr:clientData/>
  </xdr:twoCellAnchor>
  <xdr:twoCellAnchor>
    <xdr:from>
      <xdr:col>14</xdr:col>
      <xdr:colOff>455734</xdr:colOff>
      <xdr:row>14</xdr:row>
      <xdr:rowOff>9735</xdr:rowOff>
    </xdr:from>
    <xdr:to>
      <xdr:col>15</xdr:col>
      <xdr:colOff>556846</xdr:colOff>
      <xdr:row>15</xdr:row>
      <xdr:rowOff>35171</xdr:rowOff>
    </xdr:to>
    <xdr:sp macro="" textlink="'Proccessing (2)'!E14">
      <xdr:nvSpPr>
        <xdr:cNvPr id="18" name="TextBox 17"/>
        <xdr:cNvSpPr txBox="1"/>
      </xdr:nvSpPr>
      <xdr:spPr>
        <a:xfrm>
          <a:off x="8990134" y="2676735"/>
          <a:ext cx="710712"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E7007A-CB5A-41E0-B41B-C405BBDAA3C3}" type="TxLink">
            <a:rPr lang="en-US" sz="1400" b="1" i="0" u="none" strike="noStrike">
              <a:solidFill>
                <a:srgbClr val="9F5FCF"/>
              </a:solidFill>
              <a:latin typeface="Aptos Narrow"/>
              <a:cs typeface="Calibri"/>
            </a:rPr>
            <a:pPr/>
            <a:t>9613</a:t>
          </a:fld>
          <a:endParaRPr lang="en-US" sz="3200" b="1">
            <a:solidFill>
              <a:srgbClr val="9F5FCF"/>
            </a:solidFill>
            <a:latin typeface="Aptos Narrow"/>
          </a:endParaRPr>
        </a:p>
      </xdr:txBody>
    </xdr:sp>
    <xdr:clientData/>
  </xdr:twoCellAnchor>
  <xdr:twoCellAnchor>
    <xdr:from>
      <xdr:col>17</xdr:col>
      <xdr:colOff>23812</xdr:colOff>
      <xdr:row>13</xdr:row>
      <xdr:rowOff>178594</xdr:rowOff>
    </xdr:from>
    <xdr:to>
      <xdr:col>22</xdr:col>
      <xdr:colOff>452437</xdr:colOff>
      <xdr:row>25</xdr:row>
      <xdr:rowOff>47625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64399</xdr:colOff>
      <xdr:row>14</xdr:row>
      <xdr:rowOff>55960</xdr:rowOff>
    </xdr:from>
    <xdr:to>
      <xdr:col>18</xdr:col>
      <xdr:colOff>392906</xdr:colOff>
      <xdr:row>15</xdr:row>
      <xdr:rowOff>166688</xdr:rowOff>
    </xdr:to>
    <xdr:sp macro="" textlink="'Proccessing (2)'!G1">
      <xdr:nvSpPr>
        <xdr:cNvPr id="20" name="TextBox 19"/>
        <xdr:cNvSpPr txBox="1"/>
      </xdr:nvSpPr>
      <xdr:spPr>
        <a:xfrm>
          <a:off x="10427599" y="272296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3EDA06-C0A7-41F4-BCE7-F328F5504186}" type="TxLink">
            <a:rPr lang="en-US" sz="1100" b="0" i="0" u="none" strike="noStrike">
              <a:solidFill>
                <a:schemeClr val="bg1"/>
              </a:solidFill>
              <a:latin typeface="Aptos Narrow"/>
              <a:cs typeface="Calibri"/>
            </a:rPr>
            <a:pPr/>
            <a:t>New Clients</a:t>
          </a:fld>
          <a:endParaRPr lang="en-US" sz="2400" b="0">
            <a:solidFill>
              <a:schemeClr val="bg1"/>
            </a:solidFill>
            <a:latin typeface="Aptos Narrow"/>
          </a:endParaRPr>
        </a:p>
      </xdr:txBody>
    </xdr:sp>
    <xdr:clientData/>
  </xdr:twoCellAnchor>
  <xdr:twoCellAnchor>
    <xdr:from>
      <xdr:col>19</xdr:col>
      <xdr:colOff>564467</xdr:colOff>
      <xdr:row>14</xdr:row>
      <xdr:rowOff>79773</xdr:rowOff>
    </xdr:from>
    <xdr:to>
      <xdr:col>21</xdr:col>
      <xdr:colOff>392910</xdr:colOff>
      <xdr:row>16</xdr:row>
      <xdr:rowOff>0</xdr:rowOff>
    </xdr:to>
    <xdr:sp macro="" textlink="'Proccessing (2)'!H1">
      <xdr:nvSpPr>
        <xdr:cNvPr id="21" name="TextBox 20"/>
        <xdr:cNvSpPr txBox="1"/>
      </xdr:nvSpPr>
      <xdr:spPr>
        <a:xfrm>
          <a:off x="12146867" y="2746773"/>
          <a:ext cx="1047643"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36B557-54DE-431E-91F2-67534FA81EF4}" type="TxLink">
            <a:rPr lang="en-US" sz="1100" b="0" i="0" u="none" strike="noStrike">
              <a:solidFill>
                <a:schemeClr val="bg1"/>
              </a:solidFill>
              <a:latin typeface="Calibri"/>
              <a:cs typeface="Calibri"/>
            </a:rPr>
            <a:pPr/>
            <a:t>Regular Clients</a:t>
          </a:fld>
          <a:endParaRPr lang="en-US" sz="2400" b="0">
            <a:solidFill>
              <a:schemeClr val="bg1"/>
            </a:solidFill>
            <a:latin typeface="Aptos Narrow"/>
          </a:endParaRPr>
        </a:p>
      </xdr:txBody>
    </xdr:sp>
    <xdr:clientData/>
  </xdr:twoCellAnchor>
  <xdr:twoCellAnchor>
    <xdr:from>
      <xdr:col>18</xdr:col>
      <xdr:colOff>362056</xdr:colOff>
      <xdr:row>14</xdr:row>
      <xdr:rowOff>55960</xdr:rowOff>
    </xdr:from>
    <xdr:to>
      <xdr:col>19</xdr:col>
      <xdr:colOff>416719</xdr:colOff>
      <xdr:row>15</xdr:row>
      <xdr:rowOff>166688</xdr:rowOff>
    </xdr:to>
    <xdr:sp macro="" textlink="'Proccessing (2)'!K14">
      <xdr:nvSpPr>
        <xdr:cNvPr id="22" name="TextBox 21"/>
        <xdr:cNvSpPr txBox="1"/>
      </xdr:nvSpPr>
      <xdr:spPr>
        <a:xfrm>
          <a:off x="11334856" y="2722960"/>
          <a:ext cx="664263"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1D93B16-2832-4F33-8C42-A54069A6B30D}" type="TxLink">
            <a:rPr lang="en-US" sz="1100" b="0" i="0" u="none" strike="noStrike">
              <a:solidFill>
                <a:srgbClr val="51F52B"/>
              </a:solidFill>
              <a:latin typeface="Calibri"/>
              <a:cs typeface="Calibri"/>
            </a:rPr>
            <a:pPr/>
            <a:t>9488</a:t>
          </a:fld>
          <a:endParaRPr lang="en-US" sz="2400" b="0">
            <a:solidFill>
              <a:srgbClr val="51F52B"/>
            </a:solidFill>
            <a:latin typeface="Aptos Narrow"/>
          </a:endParaRPr>
        </a:p>
      </xdr:txBody>
    </xdr:sp>
    <xdr:clientData/>
  </xdr:twoCellAnchor>
  <xdr:twoCellAnchor>
    <xdr:from>
      <xdr:col>21</xdr:col>
      <xdr:colOff>421590</xdr:colOff>
      <xdr:row>14</xdr:row>
      <xdr:rowOff>79773</xdr:rowOff>
    </xdr:from>
    <xdr:to>
      <xdr:col>22</xdr:col>
      <xdr:colOff>464345</xdr:colOff>
      <xdr:row>16</xdr:row>
      <xdr:rowOff>0</xdr:rowOff>
    </xdr:to>
    <xdr:sp macro="" textlink="'Proccessing (2)'!L14">
      <xdr:nvSpPr>
        <xdr:cNvPr id="23" name="TextBox 22"/>
        <xdr:cNvSpPr txBox="1"/>
      </xdr:nvSpPr>
      <xdr:spPr>
        <a:xfrm>
          <a:off x="13223190" y="2746773"/>
          <a:ext cx="652355"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656BC0-B3ED-405C-A758-9A68B8EFA30B}" type="TxLink">
            <a:rPr lang="en-US" sz="1100" b="0" i="0" u="none" strike="noStrike">
              <a:solidFill>
                <a:srgbClr val="8439BD"/>
              </a:solidFill>
              <a:latin typeface="Calibri"/>
              <a:cs typeface="Calibri"/>
            </a:rPr>
            <a:pPr/>
            <a:t>8790</a:t>
          </a:fld>
          <a:endParaRPr lang="en-US" sz="2400" b="0">
            <a:solidFill>
              <a:srgbClr val="8439BD"/>
            </a:solidFill>
            <a:latin typeface="Aptos Narrow"/>
          </a:endParaRPr>
        </a:p>
      </xdr:txBody>
    </xdr:sp>
    <xdr:clientData/>
  </xdr:twoCellAnchor>
  <xdr:twoCellAnchor>
    <xdr:from>
      <xdr:col>4</xdr:col>
      <xdr:colOff>535781</xdr:colOff>
      <xdr:row>32</xdr:row>
      <xdr:rowOff>118109</xdr:rowOff>
    </xdr:from>
    <xdr:to>
      <xdr:col>8</xdr:col>
      <xdr:colOff>154306</xdr:colOff>
      <xdr:row>42</xdr:row>
      <xdr:rowOff>82390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457993</xdr:colOff>
      <xdr:row>32</xdr:row>
      <xdr:rowOff>102870</xdr:rowOff>
    </xdr:from>
    <xdr:to>
      <xdr:col>12</xdr:col>
      <xdr:colOff>76518</xdr:colOff>
      <xdr:row>42</xdr:row>
      <xdr:rowOff>67151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384176</xdr:colOff>
      <xdr:row>32</xdr:row>
      <xdr:rowOff>118109</xdr:rowOff>
    </xdr:from>
    <xdr:to>
      <xdr:col>16</xdr:col>
      <xdr:colOff>2701</xdr:colOff>
      <xdr:row>42</xdr:row>
      <xdr:rowOff>82390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464344</xdr:colOff>
      <xdr:row>37</xdr:row>
      <xdr:rowOff>104777</xdr:rowOff>
    </xdr:from>
    <xdr:to>
      <xdr:col>7</xdr:col>
      <xdr:colOff>214312</xdr:colOff>
      <xdr:row>39</xdr:row>
      <xdr:rowOff>47627</xdr:rowOff>
    </xdr:to>
    <xdr:sp macro="" textlink="'Proccessing (2)'!Q11">
      <xdr:nvSpPr>
        <xdr:cNvPr id="27" name="TextBox 26"/>
        <xdr:cNvSpPr txBox="1"/>
      </xdr:nvSpPr>
      <xdr:spPr>
        <a:xfrm>
          <a:off x="3512344" y="7153277"/>
          <a:ext cx="96916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EDA9CF-AA5D-41BC-AA7C-FC4A74CAC6E2}" type="TxLink">
            <a:rPr lang="en-US" sz="2000" b="0" i="0" u="none" strike="noStrike">
              <a:solidFill>
                <a:srgbClr val="51F52B"/>
              </a:solidFill>
              <a:latin typeface="Calibri"/>
              <a:cs typeface="Calibri"/>
            </a:rPr>
            <a:pPr algn="ctr"/>
            <a:t>58%</a:t>
          </a:fld>
          <a:endParaRPr lang="en-US" sz="2000" b="1">
            <a:solidFill>
              <a:srgbClr val="51F52B"/>
            </a:solidFill>
            <a:latin typeface="Aptos Narrow"/>
          </a:endParaRPr>
        </a:p>
      </xdr:txBody>
    </xdr:sp>
    <xdr:clientData/>
  </xdr:twoCellAnchor>
  <xdr:twoCellAnchor>
    <xdr:from>
      <xdr:col>9</xdr:col>
      <xdr:colOff>408385</xdr:colOff>
      <xdr:row>37</xdr:row>
      <xdr:rowOff>66678</xdr:rowOff>
    </xdr:from>
    <xdr:to>
      <xdr:col>11</xdr:col>
      <xdr:colOff>113109</xdr:colOff>
      <xdr:row>39</xdr:row>
      <xdr:rowOff>2918</xdr:rowOff>
    </xdr:to>
    <xdr:sp macro="" textlink="'Proccessing (2)'!Q12">
      <xdr:nvSpPr>
        <xdr:cNvPr id="28" name="TextBox 27"/>
        <xdr:cNvSpPr txBox="1"/>
      </xdr:nvSpPr>
      <xdr:spPr>
        <a:xfrm>
          <a:off x="5894785" y="7115178"/>
          <a:ext cx="923924" cy="31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D77A2-37E4-4D05-97DE-65C60EC2967E}" type="TxLink">
            <a:rPr lang="en-US" sz="2000" b="0" i="0" u="none" strike="noStrike">
              <a:solidFill>
                <a:srgbClr val="8439BD"/>
              </a:solidFill>
              <a:latin typeface="Calibri"/>
              <a:cs typeface="Calibri"/>
            </a:rPr>
            <a:pPr algn="ctr"/>
            <a:t>60%</a:t>
          </a:fld>
          <a:endParaRPr lang="en-US" sz="2000" b="1">
            <a:solidFill>
              <a:srgbClr val="8439BD"/>
            </a:solidFill>
            <a:latin typeface="Aptos Narrow"/>
          </a:endParaRPr>
        </a:p>
      </xdr:txBody>
    </xdr:sp>
    <xdr:clientData/>
  </xdr:twoCellAnchor>
  <xdr:twoCellAnchor>
    <xdr:from>
      <xdr:col>13</xdr:col>
      <xdr:colOff>378619</xdr:colOff>
      <xdr:row>37</xdr:row>
      <xdr:rowOff>102397</xdr:rowOff>
    </xdr:from>
    <xdr:to>
      <xdr:col>15</xdr:col>
      <xdr:colOff>47625</xdr:colOff>
      <xdr:row>39</xdr:row>
      <xdr:rowOff>35720</xdr:rowOff>
    </xdr:to>
    <xdr:sp macro="" textlink="'Proccessing (2)'!Q13">
      <xdr:nvSpPr>
        <xdr:cNvPr id="29" name="TextBox 28"/>
        <xdr:cNvSpPr txBox="1"/>
      </xdr:nvSpPr>
      <xdr:spPr>
        <a:xfrm>
          <a:off x="8303419" y="7150897"/>
          <a:ext cx="888206" cy="314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ABF5F-8A2A-4448-A36A-BC1DD0DEDB9C}" type="TxLink">
            <a:rPr lang="en-US" sz="2000" b="0" i="0" u="none" strike="noStrike">
              <a:solidFill>
                <a:srgbClr val="65A5CD"/>
              </a:solidFill>
              <a:latin typeface="Calibri"/>
              <a:cs typeface="Calibri"/>
            </a:rPr>
            <a:pPr algn="ctr"/>
            <a:t>62%</a:t>
          </a:fld>
          <a:endParaRPr lang="en-US" sz="2000" b="1">
            <a:solidFill>
              <a:srgbClr val="65A5CD"/>
            </a:solidFill>
            <a:latin typeface="Aptos Narrow"/>
          </a:endParaRPr>
        </a:p>
      </xdr:txBody>
    </xdr:sp>
    <xdr:clientData/>
  </xdr:twoCellAnchor>
  <xdr:twoCellAnchor>
    <xdr:from>
      <xdr:col>5</xdr:col>
      <xdr:colOff>464344</xdr:colOff>
      <xdr:row>35</xdr:row>
      <xdr:rowOff>45244</xdr:rowOff>
    </xdr:from>
    <xdr:to>
      <xdr:col>7</xdr:col>
      <xdr:colOff>226805</xdr:colOff>
      <xdr:row>37</xdr:row>
      <xdr:rowOff>94506</xdr:rowOff>
    </xdr:to>
    <xdr:sp macro="" textlink="">
      <xdr:nvSpPr>
        <xdr:cNvPr id="30" name="TextBox 29"/>
        <xdr:cNvSpPr txBox="1"/>
      </xdr:nvSpPr>
      <xdr:spPr>
        <a:xfrm>
          <a:off x="3512344" y="6712744"/>
          <a:ext cx="981661" cy="4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C</a:t>
          </a:r>
        </a:p>
      </xdr:txBody>
    </xdr:sp>
    <xdr:clientData/>
  </xdr:twoCellAnchor>
  <xdr:twoCellAnchor>
    <xdr:from>
      <xdr:col>9</xdr:col>
      <xdr:colOff>408385</xdr:colOff>
      <xdr:row>35</xdr:row>
      <xdr:rowOff>19051</xdr:rowOff>
    </xdr:from>
    <xdr:to>
      <xdr:col>11</xdr:col>
      <xdr:colOff>125016</xdr:colOff>
      <xdr:row>37</xdr:row>
      <xdr:rowOff>59531</xdr:rowOff>
    </xdr:to>
    <xdr:sp macro="" textlink="">
      <xdr:nvSpPr>
        <xdr:cNvPr id="31" name="TextBox 30"/>
        <xdr:cNvSpPr txBox="1"/>
      </xdr:nvSpPr>
      <xdr:spPr>
        <a:xfrm>
          <a:off x="5894785" y="6686551"/>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R</a:t>
          </a:r>
        </a:p>
      </xdr:txBody>
    </xdr:sp>
    <xdr:clientData/>
  </xdr:twoCellAnchor>
  <xdr:twoCellAnchor>
    <xdr:from>
      <xdr:col>13</xdr:col>
      <xdr:colOff>342901</xdr:colOff>
      <xdr:row>35</xdr:row>
      <xdr:rowOff>42864</xdr:rowOff>
    </xdr:from>
    <xdr:to>
      <xdr:col>15</xdr:col>
      <xdr:colOff>59532</xdr:colOff>
      <xdr:row>37</xdr:row>
      <xdr:rowOff>83344</xdr:rowOff>
    </xdr:to>
    <xdr:sp macro="" textlink="">
      <xdr:nvSpPr>
        <xdr:cNvPr id="32" name="TextBox 31"/>
        <xdr:cNvSpPr txBox="1"/>
      </xdr:nvSpPr>
      <xdr:spPr>
        <a:xfrm>
          <a:off x="8267701" y="6710364"/>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M</a:t>
          </a:r>
        </a:p>
      </xdr:txBody>
    </xdr:sp>
    <xdr:clientData/>
  </xdr:twoCellAnchor>
  <xdr:twoCellAnchor>
    <xdr:from>
      <xdr:col>5</xdr:col>
      <xdr:colOff>416720</xdr:colOff>
      <xdr:row>38</xdr:row>
      <xdr:rowOff>92872</xdr:rowOff>
    </xdr:from>
    <xdr:to>
      <xdr:col>7</xdr:col>
      <xdr:colOff>270668</xdr:colOff>
      <xdr:row>40</xdr:row>
      <xdr:rowOff>84790</xdr:rowOff>
    </xdr:to>
    <xdr:sp macro="" textlink="'Proccessing (2)'!P11">
      <xdr:nvSpPr>
        <xdr:cNvPr id="33" name="TextBox 32"/>
        <xdr:cNvSpPr txBox="1"/>
      </xdr:nvSpPr>
      <xdr:spPr>
        <a:xfrm>
          <a:off x="3464720" y="7331872"/>
          <a:ext cx="1073148" cy="372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33CAC-2C6C-4DD5-B867-AFD6493121BB}" type="TxLink">
            <a:rPr lang="en-US" sz="1100" b="1" i="0" u="none" strike="noStrike">
              <a:solidFill>
                <a:schemeClr val="bg1">
                  <a:lumMod val="50000"/>
                </a:schemeClr>
              </a:solidFill>
              <a:latin typeface="Calibri"/>
              <a:cs typeface="Calibri"/>
            </a:rPr>
            <a:pPr algn="ctr"/>
            <a:t>Customer</a:t>
          </a:fld>
          <a:endParaRPr lang="en-US" sz="2000" b="1">
            <a:solidFill>
              <a:schemeClr val="bg1">
                <a:lumMod val="50000"/>
              </a:schemeClr>
            </a:solidFill>
            <a:latin typeface="Aptos Narrow"/>
          </a:endParaRPr>
        </a:p>
      </xdr:txBody>
    </xdr:sp>
    <xdr:clientData/>
  </xdr:twoCellAnchor>
  <xdr:twoCellAnchor>
    <xdr:from>
      <xdr:col>9</xdr:col>
      <xdr:colOff>360761</xdr:colOff>
      <xdr:row>38</xdr:row>
      <xdr:rowOff>54772</xdr:rowOff>
    </xdr:from>
    <xdr:to>
      <xdr:col>11</xdr:col>
      <xdr:colOff>164587</xdr:colOff>
      <xdr:row>40</xdr:row>
      <xdr:rowOff>39079</xdr:rowOff>
    </xdr:to>
    <xdr:sp macro="" textlink="'Proccessing (2)'!P12">
      <xdr:nvSpPr>
        <xdr:cNvPr id="34" name="TextBox 33"/>
        <xdr:cNvSpPr txBox="1"/>
      </xdr:nvSpPr>
      <xdr:spPr>
        <a:xfrm>
          <a:off x="5847161" y="7293772"/>
          <a:ext cx="1023026" cy="365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B5AAF-95EF-4419-88CB-135D568731B3}" type="TxLink">
            <a:rPr lang="en-US" sz="1100" b="1" i="0" u="none" strike="noStrike">
              <a:solidFill>
                <a:schemeClr val="bg1">
                  <a:lumMod val="50000"/>
                </a:schemeClr>
              </a:solidFill>
              <a:latin typeface="Calibri"/>
              <a:cs typeface="Calibri"/>
            </a:rPr>
            <a:pPr algn="ctr"/>
            <a:t>Relationship</a:t>
          </a:fld>
          <a:endParaRPr lang="en-US" sz="2000" b="1">
            <a:solidFill>
              <a:schemeClr val="bg1">
                <a:lumMod val="50000"/>
              </a:schemeClr>
            </a:solidFill>
            <a:latin typeface="Aptos Narrow"/>
          </a:endParaRPr>
        </a:p>
      </xdr:txBody>
    </xdr:sp>
    <xdr:clientData/>
  </xdr:twoCellAnchor>
  <xdr:twoCellAnchor>
    <xdr:from>
      <xdr:col>13</xdr:col>
      <xdr:colOff>330995</xdr:colOff>
      <xdr:row>38</xdr:row>
      <xdr:rowOff>90492</xdr:rowOff>
    </xdr:from>
    <xdr:to>
      <xdr:col>15</xdr:col>
      <xdr:colOff>95252</xdr:colOff>
      <xdr:row>40</xdr:row>
      <xdr:rowOff>71440</xdr:rowOff>
    </xdr:to>
    <xdr:sp macro="" textlink="'Proccessing (2)'!P13">
      <xdr:nvSpPr>
        <xdr:cNvPr id="35" name="TextBox 34"/>
        <xdr:cNvSpPr txBox="1"/>
      </xdr:nvSpPr>
      <xdr:spPr>
        <a:xfrm>
          <a:off x="8255795" y="7329492"/>
          <a:ext cx="983457" cy="36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EFF7D-92A9-4950-94C6-C800E610ADA1}" type="TxLink">
            <a:rPr lang="en-US" sz="1100" b="1" i="0" u="none" strike="noStrike">
              <a:solidFill>
                <a:schemeClr val="bg1">
                  <a:lumMod val="50000"/>
                </a:schemeClr>
              </a:solidFill>
              <a:latin typeface="Calibri"/>
              <a:cs typeface="Calibri"/>
            </a:rPr>
            <a:pPr algn="ctr"/>
            <a:t>Management</a:t>
          </a:fld>
          <a:endParaRPr lang="en-US" sz="2000" b="1">
            <a:solidFill>
              <a:schemeClr val="bg1">
                <a:lumMod val="50000"/>
              </a:schemeClr>
            </a:solidFill>
            <a:latin typeface="Aptos Narrow"/>
          </a:endParaRPr>
        </a:p>
      </xdr:txBody>
    </xdr:sp>
    <xdr:clientData/>
  </xdr:twoCellAnchor>
  <xdr:twoCellAnchor>
    <xdr:from>
      <xdr:col>17</xdr:col>
      <xdr:colOff>41779</xdr:colOff>
      <xdr:row>29</xdr:row>
      <xdr:rowOff>22410</xdr:rowOff>
    </xdr:from>
    <xdr:to>
      <xdr:col>22</xdr:col>
      <xdr:colOff>500589</xdr:colOff>
      <xdr:row>40</xdr:row>
      <xdr:rowOff>134469</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170332</xdr:colOff>
      <xdr:row>28</xdr:row>
      <xdr:rowOff>145677</xdr:rowOff>
    </xdr:from>
    <xdr:to>
      <xdr:col>22</xdr:col>
      <xdr:colOff>372037</xdr:colOff>
      <xdr:row>41</xdr:row>
      <xdr:rowOff>123264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120390</xdr:colOff>
      <xdr:row>27</xdr:row>
      <xdr:rowOff>111990</xdr:rowOff>
    </xdr:from>
    <xdr:to>
      <xdr:col>18</xdr:col>
      <xdr:colOff>448897</xdr:colOff>
      <xdr:row>29</xdr:row>
      <xdr:rowOff>32218</xdr:rowOff>
    </xdr:to>
    <xdr:sp macro="" textlink="'Proccessing (2)'!P1">
      <xdr:nvSpPr>
        <xdr:cNvPr id="38" name="TextBox 37"/>
        <xdr:cNvSpPr txBox="1"/>
      </xdr:nvSpPr>
      <xdr:spPr>
        <a:xfrm>
          <a:off x="10483590" y="525549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2B463-C417-4387-ADCD-DED7BA437E68}" type="TxLink">
            <a:rPr lang="en-US" sz="1100" b="0" i="0" u="none" strike="noStrike">
              <a:solidFill>
                <a:schemeClr val="bg1"/>
              </a:solidFill>
              <a:latin typeface="Calibri"/>
              <a:cs typeface="Calibri"/>
            </a:rPr>
            <a:pPr/>
            <a:t>Point of Sale</a:t>
          </a:fld>
          <a:endParaRPr lang="en-US" sz="2400" b="0">
            <a:solidFill>
              <a:schemeClr val="bg1"/>
            </a:solidFill>
            <a:latin typeface="Aptos Narrow"/>
          </a:endParaRPr>
        </a:p>
      </xdr:txBody>
    </xdr:sp>
    <xdr:clientData/>
  </xdr:twoCellAnchor>
  <xdr:twoCellAnchor>
    <xdr:from>
      <xdr:col>20</xdr:col>
      <xdr:colOff>593911</xdr:colOff>
      <xdr:row>27</xdr:row>
      <xdr:rowOff>100784</xdr:rowOff>
    </xdr:from>
    <xdr:to>
      <xdr:col>21</xdr:col>
      <xdr:colOff>448895</xdr:colOff>
      <xdr:row>29</xdr:row>
      <xdr:rowOff>21012</xdr:rowOff>
    </xdr:to>
    <xdr:sp macro="" textlink="'Proccessing (2)'!Q1">
      <xdr:nvSpPr>
        <xdr:cNvPr id="39" name="TextBox 38"/>
        <xdr:cNvSpPr txBox="1"/>
      </xdr:nvSpPr>
      <xdr:spPr>
        <a:xfrm>
          <a:off x="12840340" y="5244284"/>
          <a:ext cx="467305"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D320050-B1A6-44B6-BDB1-6C6ABB139E09}" type="TxLink">
            <a:rPr lang="en-US" sz="1100" b="0" i="0" u="none" strike="noStrike">
              <a:solidFill>
                <a:schemeClr val="bg1"/>
              </a:solidFill>
              <a:latin typeface="Calibri"/>
              <a:cs typeface="Calibri"/>
            </a:rPr>
            <a:pPr algn="r"/>
            <a:t>KPI</a:t>
          </a:fld>
          <a:endParaRPr lang="en-US" sz="2400" b="0">
            <a:solidFill>
              <a:schemeClr val="bg1"/>
            </a:solidFill>
            <a:latin typeface="Aptos Narrow"/>
          </a:endParaRPr>
        </a:p>
      </xdr:txBody>
    </xdr:sp>
    <xdr:clientData/>
  </xdr:twoCellAnchor>
  <xdr:twoCellAnchor>
    <xdr:from>
      <xdr:col>21</xdr:col>
      <xdr:colOff>36018</xdr:colOff>
      <xdr:row>28</xdr:row>
      <xdr:rowOff>190431</xdr:rowOff>
    </xdr:from>
    <xdr:to>
      <xdr:col>21</xdr:col>
      <xdr:colOff>496120</xdr:colOff>
      <xdr:row>30</xdr:row>
      <xdr:rowOff>110659</xdr:rowOff>
    </xdr:to>
    <xdr:sp macro="" textlink="'Proccessing (2)'!R1">
      <xdr:nvSpPr>
        <xdr:cNvPr id="40" name="TextBox 39"/>
        <xdr:cNvSpPr txBox="1"/>
      </xdr:nvSpPr>
      <xdr:spPr>
        <a:xfrm>
          <a:off x="12894768" y="5524431"/>
          <a:ext cx="460102"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C1F490-BE9E-4B0D-B641-4D0E4D7B13AA}" type="TxLink">
            <a:rPr lang="en-US" sz="1100" b="0" i="0" u="none" strike="noStrike">
              <a:solidFill>
                <a:schemeClr val="bg1"/>
              </a:solidFill>
              <a:latin typeface="Calibri"/>
              <a:cs typeface="Calibri"/>
            </a:rPr>
            <a:pPr algn="r"/>
            <a:t>Cost</a:t>
          </a:fld>
          <a:endParaRPr lang="en-US" sz="2400" b="0">
            <a:solidFill>
              <a:schemeClr val="bg1"/>
            </a:solidFill>
            <a:latin typeface="Aptos Narrow"/>
          </a:endParaRPr>
        </a:p>
      </xdr:txBody>
    </xdr:sp>
    <xdr:clientData/>
  </xdr:twoCellAnchor>
  <xdr:twoCellAnchor>
    <xdr:from>
      <xdr:col>21</xdr:col>
      <xdr:colOff>448235</xdr:colOff>
      <xdr:row>27</xdr:row>
      <xdr:rowOff>190499</xdr:rowOff>
    </xdr:from>
    <xdr:to>
      <xdr:col>21</xdr:col>
      <xdr:colOff>585395</xdr:colOff>
      <xdr:row>28</xdr:row>
      <xdr:rowOff>137159</xdr:rowOff>
    </xdr:to>
    <xdr:sp macro="" textlink="">
      <xdr:nvSpPr>
        <xdr:cNvPr id="41" name="Oval 40"/>
        <xdr:cNvSpPr/>
      </xdr:nvSpPr>
      <xdr:spPr>
        <a:xfrm>
          <a:off x="13249835" y="5333999"/>
          <a:ext cx="137160" cy="137160"/>
        </a:xfrm>
        <a:prstGeom prst="ellipse">
          <a:avLst/>
        </a:prstGeom>
        <a:noFill/>
        <a:ln>
          <a:solidFill>
            <a:srgbClr val="5BF6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448235</xdr:colOff>
      <xdr:row>29</xdr:row>
      <xdr:rowOff>73957</xdr:rowOff>
    </xdr:from>
    <xdr:to>
      <xdr:col>21</xdr:col>
      <xdr:colOff>585395</xdr:colOff>
      <xdr:row>30</xdr:row>
      <xdr:rowOff>20617</xdr:rowOff>
    </xdr:to>
    <xdr:sp macro="" textlink="">
      <xdr:nvSpPr>
        <xdr:cNvPr id="42" name="Oval 41"/>
        <xdr:cNvSpPr/>
      </xdr:nvSpPr>
      <xdr:spPr>
        <a:xfrm>
          <a:off x="13249835" y="5598457"/>
          <a:ext cx="137160" cy="137160"/>
        </a:xfrm>
        <a:prstGeom prst="ellipse">
          <a:avLst/>
        </a:prstGeom>
        <a:noFill/>
        <a:ln>
          <a:solidFill>
            <a:srgbClr val="8439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504825</xdr:colOff>
      <xdr:row>8</xdr:row>
      <xdr:rowOff>180976</xdr:rowOff>
    </xdr:from>
    <xdr:to>
      <xdr:col>11</xdr:col>
      <xdr:colOff>438150</xdr:colOff>
      <xdr:row>13</xdr:row>
      <xdr:rowOff>104776</xdr:rowOff>
    </xdr:to>
    <xdr:sp macro="" textlink="">
      <xdr:nvSpPr>
        <xdr:cNvPr id="43" name="TextBox 42"/>
        <xdr:cNvSpPr txBox="1"/>
      </xdr:nvSpPr>
      <xdr:spPr>
        <a:xfrm>
          <a:off x="2943225" y="1704976"/>
          <a:ext cx="42005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b="0" i="0" u="none" strike="noStrike">
              <a:solidFill>
                <a:schemeClr val="tx1"/>
              </a:solidFill>
              <a:latin typeface="Georgia" panose="02040502050405020303" pitchFamily="18" charset="0"/>
              <a:ea typeface="+mn-ea"/>
              <a:cs typeface="Calibri"/>
            </a:rPr>
            <a:t>CRM </a:t>
          </a:r>
          <a:r>
            <a:rPr lang="en-US" sz="3500" b="0" i="0" u="none" strike="noStrike">
              <a:solidFill>
                <a:schemeClr val="tx1"/>
              </a:solidFill>
              <a:latin typeface="Georgia" panose="02040502050405020303" pitchFamily="18" charset="0"/>
              <a:ea typeface="+mn-ea"/>
              <a:cs typeface="Calibri"/>
            </a:rPr>
            <a:t>Dashboard</a:t>
          </a:r>
        </a:p>
      </xdr:txBody>
    </xdr:sp>
    <xdr:clientData/>
  </xdr:twoCellAnchor>
  <xdr:twoCellAnchor>
    <xdr:from>
      <xdr:col>17</xdr:col>
      <xdr:colOff>36635</xdr:colOff>
      <xdr:row>13</xdr:row>
      <xdr:rowOff>158750</xdr:rowOff>
    </xdr:from>
    <xdr:to>
      <xdr:col>22</xdr:col>
      <xdr:colOff>439616</xdr:colOff>
      <xdr:row>25</xdr:row>
      <xdr:rowOff>97692</xdr:rowOff>
    </xdr:to>
    <xdr:sp macro="" textlink="">
      <xdr:nvSpPr>
        <xdr:cNvPr id="44" name="Rectangle 43">
          <a:hlinkClick xmlns:r="http://schemas.openxmlformats.org/officeDocument/2006/relationships" r:id="rId8"/>
        </xdr:cNvPr>
        <xdr:cNvSpPr/>
      </xdr:nvSpPr>
      <xdr:spPr>
        <a:xfrm>
          <a:off x="10399835" y="2635250"/>
          <a:ext cx="3450981" cy="22249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349616</xdr:colOff>
      <xdr:row>10</xdr:row>
      <xdr:rowOff>109904</xdr:rowOff>
    </xdr:from>
    <xdr:to>
      <xdr:col>21</xdr:col>
      <xdr:colOff>83255</xdr:colOff>
      <xdr:row>12</xdr:row>
      <xdr:rowOff>122096</xdr:rowOff>
    </xdr:to>
    <xdr:pic>
      <xdr:nvPicPr>
        <xdr:cNvPr id="45" name="Picture 44"/>
        <xdr:cNvPicPr>
          <a:picLocks/>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9628" l="0" r="100000"/>
                  </a14:imgEffect>
                  <a14:imgEffect>
                    <a14:colorTemperature colorTemp="8800"/>
                  </a14:imgEffect>
                </a14:imgLayer>
              </a14:imgProps>
            </a:ext>
          </a:extLst>
        </a:blip>
        <a:stretch>
          <a:fillRect/>
        </a:stretch>
      </xdr:blipFill>
      <xdr:spPr>
        <a:xfrm>
          <a:off x="12541616" y="2014904"/>
          <a:ext cx="343239" cy="393192"/>
        </a:xfrm>
        <a:prstGeom prst="rect">
          <a:avLst/>
        </a:prstGeom>
      </xdr:spPr>
    </xdr:pic>
    <xdr:clientData/>
  </xdr:twoCellAnchor>
  <xdr:twoCellAnchor editAs="oneCell">
    <xdr:from>
      <xdr:col>19</xdr:col>
      <xdr:colOff>61057</xdr:colOff>
      <xdr:row>10</xdr:row>
      <xdr:rowOff>119947</xdr:rowOff>
    </xdr:from>
    <xdr:to>
      <xdr:col>19</xdr:col>
      <xdr:colOff>428167</xdr:colOff>
      <xdr:row>12</xdr:row>
      <xdr:rowOff>104707</xdr:rowOff>
    </xdr:to>
    <xdr:pic>
      <xdr:nvPicPr>
        <xdr:cNvPr id="46" name="Picture 45" descr="Sun Icon, Transparent Sun.PNG Images &amp; Vector - FreeIconsPNG">
          <a:hlinkClick xmlns:r="http://schemas.openxmlformats.org/officeDocument/2006/relationships" r:id="rId11"/>
        </xdr:cNvPr>
        <xdr:cNvPicPr>
          <a:picLocks noChangeArrowheads="1"/>
        </xdr:cNvPicPr>
      </xdr:nvPicPr>
      <xdr:blipFill>
        <a:blip xmlns:r="http://schemas.openxmlformats.org/officeDocument/2006/relationships" r:embed="rId12" cstate="print">
          <a:grayscl/>
          <a:extLst>
            <a:ext uri="{BEBA8EAE-BF5A-486C-A8C5-ECC9F3942E4B}">
              <a14:imgProps xmlns:a14="http://schemas.microsoft.com/office/drawing/2010/main">
                <a14:imgLayer r:embed="rId13">
                  <a14:imgEffect>
                    <a14:backgroundRemoval t="0" b="100000" l="0" r="1000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1695164" y="2024947"/>
          <a:ext cx="36711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104774</xdr:rowOff>
    </xdr:from>
    <xdr:to>
      <xdr:col>13</xdr:col>
      <xdr:colOff>304800</xdr:colOff>
      <xdr:row>53</xdr:row>
      <xdr:rowOff>142874</xdr:rowOff>
    </xdr:to>
    <xdr:sp macro="" textlink="">
      <xdr:nvSpPr>
        <xdr:cNvPr id="2" name="Oval 1"/>
        <xdr:cNvSpPr/>
      </xdr:nvSpPr>
      <xdr:spPr>
        <a:xfrm>
          <a:off x="0" y="2009774"/>
          <a:ext cx="8229600" cy="8229600"/>
        </a:xfrm>
        <a:prstGeom prst="ellipse">
          <a:avLst/>
        </a:prstGeom>
        <a:solidFill>
          <a:srgbClr val="1032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184944</xdr:colOff>
      <xdr:row>3</xdr:row>
      <xdr:rowOff>57943</xdr:rowOff>
    </xdr:from>
    <xdr:to>
      <xdr:col>29</xdr:col>
      <xdr:colOff>489744</xdr:colOff>
      <xdr:row>36</xdr:row>
      <xdr:rowOff>172243</xdr:rowOff>
    </xdr:to>
    <xdr:sp macro="" textlink="">
      <xdr:nvSpPr>
        <xdr:cNvPr id="3" name="Oval 2"/>
        <xdr:cNvSpPr/>
      </xdr:nvSpPr>
      <xdr:spPr>
        <a:xfrm>
          <a:off x="11767344" y="629443"/>
          <a:ext cx="6400800" cy="6400800"/>
        </a:xfrm>
        <a:prstGeom prst="ellipse">
          <a:avLst/>
        </a:prstGeom>
        <a:gradFill>
          <a:gsLst>
            <a:gs pos="0">
              <a:srgbClr val="E1D9FF"/>
            </a:gs>
            <a:gs pos="100000">
              <a:srgbClr val="A893FF"/>
            </a:gs>
          </a:gsLst>
          <a:path path="circle">
            <a:fillToRect l="100000" b="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121443</xdr:colOff>
      <xdr:row>9</xdr:row>
      <xdr:rowOff>26193</xdr:rowOff>
    </xdr:from>
    <xdr:to>
      <xdr:col>23</xdr:col>
      <xdr:colOff>288607</xdr:colOff>
      <xdr:row>45</xdr:row>
      <xdr:rowOff>26193</xdr:rowOff>
    </xdr:to>
    <xdr:sp macro="" textlink="">
      <xdr:nvSpPr>
        <xdr:cNvPr id="4" name="Rounded Rectangle 3"/>
        <xdr:cNvSpPr/>
      </xdr:nvSpPr>
      <xdr:spPr>
        <a:xfrm>
          <a:off x="2559843" y="1740693"/>
          <a:ext cx="11749564" cy="6858000"/>
        </a:xfrm>
        <a:prstGeom prst="roundRect">
          <a:avLst>
            <a:gd name="adj" fmla="val 2605"/>
          </a:avLst>
        </a:prstGeom>
        <a:solidFill>
          <a:srgbClr val="5A637D">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435768</xdr:colOff>
      <xdr:row>13</xdr:row>
      <xdr:rowOff>105568</xdr:rowOff>
    </xdr:from>
    <xdr:to>
      <xdr:col>16</xdr:col>
      <xdr:colOff>54768</xdr:colOff>
      <xdr:row>30</xdr:row>
      <xdr:rowOff>158908</xdr:rowOff>
    </xdr:to>
    <xdr:sp macro="" textlink="">
      <xdr:nvSpPr>
        <xdr:cNvPr id="5" name="Rounded Rectangle 4"/>
        <xdr:cNvSpPr/>
      </xdr:nvSpPr>
      <xdr:spPr>
        <a:xfrm>
          <a:off x="2874168" y="2582068"/>
          <a:ext cx="6934200" cy="32918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13493</xdr:colOff>
      <xdr:row>13</xdr:row>
      <xdr:rowOff>105568</xdr:rowOff>
    </xdr:from>
    <xdr:to>
      <xdr:col>22</xdr:col>
      <xdr:colOff>471963</xdr:colOff>
      <xdr:row>25</xdr:row>
      <xdr:rowOff>105568</xdr:rowOff>
    </xdr:to>
    <xdr:sp macro="" textlink="">
      <xdr:nvSpPr>
        <xdr:cNvPr id="6" name="Rounded Rectangle 5"/>
        <xdr:cNvSpPr/>
      </xdr:nvSpPr>
      <xdr:spPr>
        <a:xfrm>
          <a:off x="10376693" y="2582068"/>
          <a:ext cx="3506470" cy="228600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41949</xdr:colOff>
      <xdr:row>27</xdr:row>
      <xdr:rowOff>45243</xdr:rowOff>
    </xdr:from>
    <xdr:to>
      <xdr:col>22</xdr:col>
      <xdr:colOff>500419</xdr:colOff>
      <xdr:row>42</xdr:row>
      <xdr:rowOff>113823</xdr:rowOff>
    </xdr:to>
    <xdr:sp macro="" textlink="">
      <xdr:nvSpPr>
        <xdr:cNvPr id="7" name="Rounded Rectangle 6"/>
        <xdr:cNvSpPr/>
      </xdr:nvSpPr>
      <xdr:spPr>
        <a:xfrm>
          <a:off x="10405149" y="5188743"/>
          <a:ext cx="3506470" cy="292608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521493</xdr:colOff>
      <xdr:row>32</xdr:row>
      <xdr:rowOff>73580</xdr:rowOff>
    </xdr:from>
    <xdr:to>
      <xdr:col>8</xdr:col>
      <xdr:colOff>165893</xdr:colOff>
      <xdr:row>42</xdr:row>
      <xdr:rowOff>88820</xdr:rowOff>
    </xdr:to>
    <xdr:sp macro="" textlink="">
      <xdr:nvSpPr>
        <xdr:cNvPr id="8" name="Rounded Rectangle 7"/>
        <xdr:cNvSpPr/>
      </xdr:nvSpPr>
      <xdr:spPr>
        <a:xfrm>
          <a:off x="2959893" y="616958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447041</xdr:colOff>
      <xdr:row>32</xdr:row>
      <xdr:rowOff>67150</xdr:rowOff>
    </xdr:from>
    <xdr:to>
      <xdr:col>12</xdr:col>
      <xdr:colOff>91441</xdr:colOff>
      <xdr:row>42</xdr:row>
      <xdr:rowOff>82390</xdr:rowOff>
    </xdr:to>
    <xdr:sp macro="" textlink="">
      <xdr:nvSpPr>
        <xdr:cNvPr id="9" name="Rounded Rectangle 8"/>
        <xdr:cNvSpPr/>
      </xdr:nvSpPr>
      <xdr:spPr>
        <a:xfrm>
          <a:off x="5323841" y="616315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410368</xdr:colOff>
      <xdr:row>32</xdr:row>
      <xdr:rowOff>67150</xdr:rowOff>
    </xdr:from>
    <xdr:to>
      <xdr:col>16</xdr:col>
      <xdr:colOff>54768</xdr:colOff>
      <xdr:row>42</xdr:row>
      <xdr:rowOff>82390</xdr:rowOff>
    </xdr:to>
    <xdr:sp macro="" textlink="">
      <xdr:nvSpPr>
        <xdr:cNvPr id="10" name="Rounded Rectangle 9"/>
        <xdr:cNvSpPr/>
      </xdr:nvSpPr>
      <xdr:spPr>
        <a:xfrm>
          <a:off x="7725568" y="6163150"/>
          <a:ext cx="2082800" cy="1920240"/>
        </a:xfrm>
        <a:prstGeom prst="roundRect">
          <a:avLst>
            <a:gd name="adj" fmla="val 5981"/>
          </a:avLst>
        </a:prstGeom>
        <a:solidFill>
          <a:srgbClr val="1B1B21"/>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19825</xdr:colOff>
      <xdr:row>16</xdr:row>
      <xdr:rowOff>15875</xdr:rowOff>
    </xdr:from>
    <xdr:to>
      <xdr:col>22</xdr:col>
      <xdr:colOff>441661</xdr:colOff>
      <xdr:row>25</xdr:row>
      <xdr:rowOff>86214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478633</xdr:colOff>
      <xdr:row>10</xdr:row>
      <xdr:rowOff>38100</xdr:rowOff>
    </xdr:from>
    <xdr:to>
      <xdr:col>18</xdr:col>
      <xdr:colOff>209550</xdr:colOff>
      <xdr:row>12</xdr:row>
      <xdr:rowOff>42333</xdr:rowOff>
    </xdr:to>
    <mc:AlternateContent xmlns:mc="http://schemas.openxmlformats.org/markup-compatibility/2006" xmlns:a14="http://schemas.microsoft.com/office/drawing/2010/main">
      <mc:Choice Requires="a14">
        <xdr:graphicFrame macro="">
          <xdr:nvGraphicFramePr>
            <xdr:cNvPr id="12" name="Year 3"/>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013033" y="1943100"/>
              <a:ext cx="2169317" cy="385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428624</xdr:colOff>
      <xdr:row>14</xdr:row>
      <xdr:rowOff>9525</xdr:rowOff>
    </xdr:from>
    <xdr:to>
      <xdr:col>8</xdr:col>
      <xdr:colOff>337038</xdr:colOff>
      <xdr:row>15</xdr:row>
      <xdr:rowOff>95250</xdr:rowOff>
    </xdr:to>
    <xdr:sp macro="" textlink="Proccessing!A1">
      <xdr:nvSpPr>
        <xdr:cNvPr id="13" name="TextBox 12"/>
        <xdr:cNvSpPr txBox="1"/>
      </xdr:nvSpPr>
      <xdr:spPr>
        <a:xfrm>
          <a:off x="3476624" y="2676525"/>
          <a:ext cx="17372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F6FE26-6A67-4D89-83EE-6C993C6D0365}" type="TxLink">
            <a:rPr lang="en-US" sz="1400" b="1" i="0" u="none" strike="noStrike">
              <a:solidFill>
                <a:schemeClr val="bg1"/>
              </a:solidFill>
              <a:latin typeface="Aptos Narrow"/>
              <a:cs typeface="Calibri"/>
            </a:rPr>
            <a:pPr/>
            <a:t>Customer Activity</a:t>
          </a:fld>
          <a:endParaRPr lang="en-US" sz="1400" b="1">
            <a:solidFill>
              <a:schemeClr val="bg1"/>
            </a:solidFill>
            <a:latin typeface="Aptos Narrow"/>
          </a:endParaRPr>
        </a:p>
      </xdr:txBody>
    </xdr:sp>
    <xdr:clientData/>
  </xdr:twoCellAnchor>
  <xdr:twoCellAnchor>
    <xdr:from>
      <xdr:col>8</xdr:col>
      <xdr:colOff>556847</xdr:colOff>
      <xdr:row>13</xdr:row>
      <xdr:rowOff>188511</xdr:rowOff>
    </xdr:from>
    <xdr:to>
      <xdr:col>11</xdr:col>
      <xdr:colOff>10259</xdr:colOff>
      <xdr:row>15</xdr:row>
      <xdr:rowOff>83736</xdr:rowOff>
    </xdr:to>
    <xdr:sp macro="" textlink="Proccessing!B1">
      <xdr:nvSpPr>
        <xdr:cNvPr id="14" name="TextBox 13"/>
        <xdr:cNvSpPr txBox="1"/>
      </xdr:nvSpPr>
      <xdr:spPr>
        <a:xfrm>
          <a:off x="5433647" y="2665011"/>
          <a:ext cx="128221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965960-9042-401C-A624-A979D1B93D5C}" type="TxLink">
            <a:rPr lang="en-US" sz="1400" b="1" i="0" u="none" strike="noStrike">
              <a:solidFill>
                <a:schemeClr val="bg1"/>
              </a:solidFill>
              <a:latin typeface="Aptos Narrow"/>
              <a:cs typeface="Calibri"/>
            </a:rPr>
            <a:pPr/>
            <a:t>Active Client Count</a:t>
          </a:fld>
          <a:endParaRPr lang="en-US" sz="1800" b="1">
            <a:solidFill>
              <a:schemeClr val="bg1"/>
            </a:solidFill>
            <a:latin typeface="Aptos Narrow"/>
          </a:endParaRPr>
        </a:p>
      </xdr:txBody>
    </xdr:sp>
    <xdr:clientData/>
  </xdr:twoCellAnchor>
  <xdr:twoCellAnchor>
    <xdr:from>
      <xdr:col>12</xdr:col>
      <xdr:colOff>255814</xdr:colOff>
      <xdr:row>13</xdr:row>
      <xdr:rowOff>163116</xdr:rowOff>
    </xdr:from>
    <xdr:to>
      <xdr:col>14</xdr:col>
      <xdr:colOff>593479</xdr:colOff>
      <xdr:row>15</xdr:row>
      <xdr:rowOff>58341</xdr:rowOff>
    </xdr:to>
    <xdr:sp macro="" textlink="Proccessing!C1">
      <xdr:nvSpPr>
        <xdr:cNvPr id="15" name="TextBox 14"/>
        <xdr:cNvSpPr txBox="1"/>
      </xdr:nvSpPr>
      <xdr:spPr>
        <a:xfrm>
          <a:off x="7571014" y="2639616"/>
          <a:ext cx="1556865" cy="276225"/>
        </a:xfrm>
        <a:prstGeom prst="rect">
          <a:avLst/>
        </a:prstGeom>
        <a:solidFill>
          <a:srgbClr val="1B1B2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E39CB-B774-43D7-BFA5-21E83B1DAD95}" type="TxLink">
            <a:rPr lang="en-US" sz="1400" b="1" i="0" u="none" strike="noStrike">
              <a:solidFill>
                <a:schemeClr val="bg1"/>
              </a:solidFill>
              <a:latin typeface="Aptos Narrow"/>
              <a:cs typeface="Calibri"/>
            </a:rPr>
            <a:pPr/>
            <a:t>Average Client Count</a:t>
          </a:fld>
          <a:endParaRPr lang="en-US" sz="2400" b="1">
            <a:solidFill>
              <a:schemeClr val="bg1"/>
            </a:solidFill>
            <a:latin typeface="Aptos Narrow"/>
          </a:endParaRPr>
        </a:p>
      </xdr:txBody>
    </xdr:sp>
    <xdr:clientData/>
  </xdr:twoCellAnchor>
  <xdr:twoCellAnchor>
    <xdr:from>
      <xdr:col>10</xdr:col>
      <xdr:colOff>589085</xdr:colOff>
      <xdr:row>14</xdr:row>
      <xdr:rowOff>25854</xdr:rowOff>
    </xdr:from>
    <xdr:to>
      <xdr:col>12</xdr:col>
      <xdr:colOff>58615</xdr:colOff>
      <xdr:row>15</xdr:row>
      <xdr:rowOff>51290</xdr:rowOff>
    </xdr:to>
    <xdr:sp macro="" textlink="Proccessing!D14">
      <xdr:nvSpPr>
        <xdr:cNvPr id="16" name="TextBox 15"/>
        <xdr:cNvSpPr txBox="1"/>
      </xdr:nvSpPr>
      <xdr:spPr>
        <a:xfrm>
          <a:off x="6685085" y="2692854"/>
          <a:ext cx="688730"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A90424-79D1-4759-B607-D0B1B9F7AEAE}" type="TxLink">
            <a:rPr lang="en-US" sz="1400" b="1" i="0" u="none" strike="noStrike">
              <a:solidFill>
                <a:srgbClr val="51F52B"/>
              </a:solidFill>
              <a:latin typeface="Aptos Narrow"/>
              <a:cs typeface="Calibri"/>
            </a:rPr>
            <a:pPr/>
            <a:t>9952</a:t>
          </a:fld>
          <a:endParaRPr lang="en-US" sz="2400" b="1">
            <a:solidFill>
              <a:srgbClr val="51F52B"/>
            </a:solidFill>
            <a:latin typeface="Aptos Narrow"/>
          </a:endParaRPr>
        </a:p>
      </xdr:txBody>
    </xdr:sp>
    <xdr:clientData/>
  </xdr:twoCellAnchor>
  <xdr:twoCellAnchor>
    <xdr:from>
      <xdr:col>14</xdr:col>
      <xdr:colOff>455734</xdr:colOff>
      <xdr:row>14</xdr:row>
      <xdr:rowOff>9735</xdr:rowOff>
    </xdr:from>
    <xdr:to>
      <xdr:col>15</xdr:col>
      <xdr:colOff>556846</xdr:colOff>
      <xdr:row>15</xdr:row>
      <xdr:rowOff>35171</xdr:rowOff>
    </xdr:to>
    <xdr:sp macro="" textlink="Proccessing!E14">
      <xdr:nvSpPr>
        <xdr:cNvPr id="17" name="TextBox 16"/>
        <xdr:cNvSpPr txBox="1"/>
      </xdr:nvSpPr>
      <xdr:spPr>
        <a:xfrm>
          <a:off x="8990134" y="2676735"/>
          <a:ext cx="710712" cy="215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E7007A-CB5A-41E0-B41B-C405BBDAA3C3}" type="TxLink">
            <a:rPr lang="en-US" sz="1400" b="1" i="0" u="none" strike="noStrike">
              <a:solidFill>
                <a:srgbClr val="9F5FCF"/>
              </a:solidFill>
              <a:latin typeface="Aptos Narrow"/>
              <a:cs typeface="Calibri"/>
            </a:rPr>
            <a:pPr/>
            <a:t>9613</a:t>
          </a:fld>
          <a:endParaRPr lang="en-US" sz="3200" b="1">
            <a:solidFill>
              <a:srgbClr val="9F5FCF"/>
            </a:solidFill>
            <a:latin typeface="Aptos Narrow"/>
          </a:endParaRPr>
        </a:p>
      </xdr:txBody>
    </xdr:sp>
    <xdr:clientData/>
  </xdr:twoCellAnchor>
  <xdr:twoCellAnchor>
    <xdr:from>
      <xdr:col>4</xdr:col>
      <xdr:colOff>573331</xdr:colOff>
      <xdr:row>15</xdr:row>
      <xdr:rowOff>80901</xdr:rowOff>
    </xdr:from>
    <xdr:to>
      <xdr:col>15</xdr:col>
      <xdr:colOff>468097</xdr:colOff>
      <xdr:row>28</xdr:row>
      <xdr:rowOff>146941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64399</xdr:colOff>
      <xdr:row>14</xdr:row>
      <xdr:rowOff>55960</xdr:rowOff>
    </xdr:from>
    <xdr:to>
      <xdr:col>18</xdr:col>
      <xdr:colOff>392906</xdr:colOff>
      <xdr:row>15</xdr:row>
      <xdr:rowOff>166688</xdr:rowOff>
    </xdr:to>
    <xdr:sp macro="" textlink="Proccessing!G1">
      <xdr:nvSpPr>
        <xdr:cNvPr id="19" name="TextBox 18"/>
        <xdr:cNvSpPr txBox="1"/>
      </xdr:nvSpPr>
      <xdr:spPr>
        <a:xfrm>
          <a:off x="10427599" y="272296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3EDA06-C0A7-41F4-BCE7-F328F5504186}" type="TxLink">
            <a:rPr lang="en-US" sz="1100" b="0" i="0" u="none" strike="noStrike">
              <a:solidFill>
                <a:schemeClr val="bg1"/>
              </a:solidFill>
              <a:latin typeface="Aptos Narrow"/>
              <a:cs typeface="Calibri"/>
            </a:rPr>
            <a:pPr/>
            <a:t>New Clients</a:t>
          </a:fld>
          <a:endParaRPr lang="en-US" sz="2400" b="0">
            <a:solidFill>
              <a:schemeClr val="bg1"/>
            </a:solidFill>
            <a:latin typeface="Aptos Narrow"/>
          </a:endParaRPr>
        </a:p>
      </xdr:txBody>
    </xdr:sp>
    <xdr:clientData/>
  </xdr:twoCellAnchor>
  <xdr:twoCellAnchor>
    <xdr:from>
      <xdr:col>19</xdr:col>
      <xdr:colOff>564467</xdr:colOff>
      <xdr:row>14</xdr:row>
      <xdr:rowOff>79773</xdr:rowOff>
    </xdr:from>
    <xdr:to>
      <xdr:col>21</xdr:col>
      <xdr:colOff>392910</xdr:colOff>
      <xdr:row>16</xdr:row>
      <xdr:rowOff>0</xdr:rowOff>
    </xdr:to>
    <xdr:sp macro="" textlink="Proccessing!H1">
      <xdr:nvSpPr>
        <xdr:cNvPr id="20" name="TextBox 19"/>
        <xdr:cNvSpPr txBox="1"/>
      </xdr:nvSpPr>
      <xdr:spPr>
        <a:xfrm>
          <a:off x="12146867" y="2746773"/>
          <a:ext cx="1047643"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436B557-54DE-431E-91F2-67534FA81EF4}" type="TxLink">
            <a:rPr lang="en-US" sz="1100" b="0" i="0" u="none" strike="noStrike">
              <a:solidFill>
                <a:schemeClr val="bg1"/>
              </a:solidFill>
              <a:latin typeface="Calibri"/>
              <a:cs typeface="Calibri"/>
            </a:rPr>
            <a:pPr/>
            <a:t>Regular Clients</a:t>
          </a:fld>
          <a:endParaRPr lang="en-US" sz="2400" b="0">
            <a:solidFill>
              <a:schemeClr val="bg1"/>
            </a:solidFill>
            <a:latin typeface="Aptos Narrow"/>
          </a:endParaRPr>
        </a:p>
      </xdr:txBody>
    </xdr:sp>
    <xdr:clientData/>
  </xdr:twoCellAnchor>
  <xdr:twoCellAnchor>
    <xdr:from>
      <xdr:col>18</xdr:col>
      <xdr:colOff>362056</xdr:colOff>
      <xdr:row>14</xdr:row>
      <xdr:rowOff>55960</xdr:rowOff>
    </xdr:from>
    <xdr:to>
      <xdr:col>19</xdr:col>
      <xdr:colOff>416719</xdr:colOff>
      <xdr:row>15</xdr:row>
      <xdr:rowOff>166688</xdr:rowOff>
    </xdr:to>
    <xdr:sp macro="" textlink="Proccessing!K14">
      <xdr:nvSpPr>
        <xdr:cNvPr id="21" name="TextBox 20"/>
        <xdr:cNvSpPr txBox="1"/>
      </xdr:nvSpPr>
      <xdr:spPr>
        <a:xfrm>
          <a:off x="11334856" y="2722960"/>
          <a:ext cx="664263"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1D93B16-2832-4F33-8C42-A54069A6B30D}" type="TxLink">
            <a:rPr lang="en-US" sz="1100" b="0" i="0" u="none" strike="noStrike">
              <a:solidFill>
                <a:srgbClr val="51F52B"/>
              </a:solidFill>
              <a:latin typeface="Calibri"/>
              <a:cs typeface="Calibri"/>
            </a:rPr>
            <a:pPr/>
            <a:t>9488</a:t>
          </a:fld>
          <a:endParaRPr lang="en-US" sz="2400" b="0">
            <a:solidFill>
              <a:srgbClr val="51F52B"/>
            </a:solidFill>
            <a:latin typeface="Aptos Narrow"/>
          </a:endParaRPr>
        </a:p>
      </xdr:txBody>
    </xdr:sp>
    <xdr:clientData/>
  </xdr:twoCellAnchor>
  <xdr:twoCellAnchor>
    <xdr:from>
      <xdr:col>21</xdr:col>
      <xdr:colOff>421590</xdr:colOff>
      <xdr:row>14</xdr:row>
      <xdr:rowOff>79773</xdr:rowOff>
    </xdr:from>
    <xdr:to>
      <xdr:col>22</xdr:col>
      <xdr:colOff>464345</xdr:colOff>
      <xdr:row>16</xdr:row>
      <xdr:rowOff>0</xdr:rowOff>
    </xdr:to>
    <xdr:sp macro="" textlink="Proccessing!L14">
      <xdr:nvSpPr>
        <xdr:cNvPr id="22" name="TextBox 21"/>
        <xdr:cNvSpPr txBox="1"/>
      </xdr:nvSpPr>
      <xdr:spPr>
        <a:xfrm>
          <a:off x="13223190" y="2746773"/>
          <a:ext cx="652355" cy="301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656BC0-B3ED-405C-A758-9A68B8EFA30B}" type="TxLink">
            <a:rPr lang="en-US" sz="1100" b="0" i="0" u="none" strike="noStrike">
              <a:solidFill>
                <a:srgbClr val="8439BD"/>
              </a:solidFill>
              <a:latin typeface="Calibri"/>
              <a:cs typeface="Calibri"/>
            </a:rPr>
            <a:pPr/>
            <a:t>8790</a:t>
          </a:fld>
          <a:endParaRPr lang="en-US" sz="2400" b="0">
            <a:solidFill>
              <a:srgbClr val="8439BD"/>
            </a:solidFill>
            <a:latin typeface="Aptos Narrow"/>
          </a:endParaRPr>
        </a:p>
      </xdr:txBody>
    </xdr:sp>
    <xdr:clientData/>
  </xdr:twoCellAnchor>
  <xdr:twoCellAnchor>
    <xdr:from>
      <xdr:col>4</xdr:col>
      <xdr:colOff>535781</xdr:colOff>
      <xdr:row>32</xdr:row>
      <xdr:rowOff>118109</xdr:rowOff>
    </xdr:from>
    <xdr:to>
      <xdr:col>8</xdr:col>
      <xdr:colOff>154306</xdr:colOff>
      <xdr:row>42</xdr:row>
      <xdr:rowOff>82390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457993</xdr:colOff>
      <xdr:row>32</xdr:row>
      <xdr:rowOff>102870</xdr:rowOff>
    </xdr:from>
    <xdr:to>
      <xdr:col>12</xdr:col>
      <xdr:colOff>76518</xdr:colOff>
      <xdr:row>42</xdr:row>
      <xdr:rowOff>67151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384176</xdr:colOff>
      <xdr:row>32</xdr:row>
      <xdr:rowOff>118109</xdr:rowOff>
    </xdr:from>
    <xdr:to>
      <xdr:col>16</xdr:col>
      <xdr:colOff>2701</xdr:colOff>
      <xdr:row>42</xdr:row>
      <xdr:rowOff>82390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464344</xdr:colOff>
      <xdr:row>37</xdr:row>
      <xdr:rowOff>104777</xdr:rowOff>
    </xdr:from>
    <xdr:to>
      <xdr:col>7</xdr:col>
      <xdr:colOff>214312</xdr:colOff>
      <xdr:row>39</xdr:row>
      <xdr:rowOff>47627</xdr:rowOff>
    </xdr:to>
    <xdr:sp macro="" textlink="Proccessing!Q11">
      <xdr:nvSpPr>
        <xdr:cNvPr id="26" name="TextBox 25"/>
        <xdr:cNvSpPr txBox="1"/>
      </xdr:nvSpPr>
      <xdr:spPr>
        <a:xfrm>
          <a:off x="3512344" y="7153277"/>
          <a:ext cx="969168"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EDA9CF-AA5D-41BC-AA7C-FC4A74CAC6E2}" type="TxLink">
            <a:rPr lang="en-US" sz="2000" b="0" i="0" u="none" strike="noStrike">
              <a:solidFill>
                <a:srgbClr val="51F52B"/>
              </a:solidFill>
              <a:latin typeface="Calibri"/>
              <a:cs typeface="Calibri"/>
            </a:rPr>
            <a:pPr algn="ctr"/>
            <a:t>58%</a:t>
          </a:fld>
          <a:endParaRPr lang="en-US" sz="2000" b="1">
            <a:solidFill>
              <a:srgbClr val="51F52B"/>
            </a:solidFill>
            <a:latin typeface="Aptos Narrow"/>
          </a:endParaRPr>
        </a:p>
      </xdr:txBody>
    </xdr:sp>
    <xdr:clientData/>
  </xdr:twoCellAnchor>
  <xdr:twoCellAnchor>
    <xdr:from>
      <xdr:col>9</xdr:col>
      <xdr:colOff>408385</xdr:colOff>
      <xdr:row>37</xdr:row>
      <xdr:rowOff>66678</xdr:rowOff>
    </xdr:from>
    <xdr:to>
      <xdr:col>11</xdr:col>
      <xdr:colOff>113109</xdr:colOff>
      <xdr:row>39</xdr:row>
      <xdr:rowOff>2918</xdr:rowOff>
    </xdr:to>
    <xdr:sp macro="" textlink="Proccessing!Q12">
      <xdr:nvSpPr>
        <xdr:cNvPr id="27" name="TextBox 26"/>
        <xdr:cNvSpPr txBox="1"/>
      </xdr:nvSpPr>
      <xdr:spPr>
        <a:xfrm>
          <a:off x="5894785" y="7115178"/>
          <a:ext cx="923924" cy="31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D77A2-37E4-4D05-97DE-65C60EC2967E}" type="TxLink">
            <a:rPr lang="en-US" sz="2000" b="0" i="0" u="none" strike="noStrike">
              <a:solidFill>
                <a:srgbClr val="8439BD"/>
              </a:solidFill>
              <a:latin typeface="Calibri"/>
              <a:cs typeface="Calibri"/>
            </a:rPr>
            <a:pPr algn="ctr"/>
            <a:t>60%</a:t>
          </a:fld>
          <a:endParaRPr lang="en-US" sz="2000" b="1">
            <a:solidFill>
              <a:srgbClr val="8439BD"/>
            </a:solidFill>
            <a:latin typeface="Aptos Narrow"/>
          </a:endParaRPr>
        </a:p>
      </xdr:txBody>
    </xdr:sp>
    <xdr:clientData/>
  </xdr:twoCellAnchor>
  <xdr:twoCellAnchor>
    <xdr:from>
      <xdr:col>13</xdr:col>
      <xdr:colOff>378619</xdr:colOff>
      <xdr:row>37</xdr:row>
      <xdr:rowOff>102397</xdr:rowOff>
    </xdr:from>
    <xdr:to>
      <xdr:col>15</xdr:col>
      <xdr:colOff>47625</xdr:colOff>
      <xdr:row>39</xdr:row>
      <xdr:rowOff>35720</xdr:rowOff>
    </xdr:to>
    <xdr:sp macro="" textlink="Proccessing!Q13">
      <xdr:nvSpPr>
        <xdr:cNvPr id="28" name="TextBox 27"/>
        <xdr:cNvSpPr txBox="1"/>
      </xdr:nvSpPr>
      <xdr:spPr>
        <a:xfrm>
          <a:off x="8303419" y="7150897"/>
          <a:ext cx="888206" cy="314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ABF5F-8A2A-4448-A36A-BC1DD0DEDB9C}" type="TxLink">
            <a:rPr lang="en-US" sz="2000" b="0" i="0" u="none" strike="noStrike">
              <a:solidFill>
                <a:srgbClr val="65A5CD"/>
              </a:solidFill>
              <a:latin typeface="Calibri"/>
              <a:cs typeface="Calibri"/>
            </a:rPr>
            <a:pPr algn="ctr"/>
            <a:t>62%</a:t>
          </a:fld>
          <a:endParaRPr lang="en-US" sz="2000" b="1">
            <a:solidFill>
              <a:srgbClr val="65A5CD"/>
            </a:solidFill>
            <a:latin typeface="Aptos Narrow"/>
          </a:endParaRPr>
        </a:p>
      </xdr:txBody>
    </xdr:sp>
    <xdr:clientData/>
  </xdr:twoCellAnchor>
  <xdr:twoCellAnchor>
    <xdr:from>
      <xdr:col>5</xdr:col>
      <xdr:colOff>464344</xdr:colOff>
      <xdr:row>35</xdr:row>
      <xdr:rowOff>45244</xdr:rowOff>
    </xdr:from>
    <xdr:to>
      <xdr:col>7</xdr:col>
      <xdr:colOff>226805</xdr:colOff>
      <xdr:row>37</xdr:row>
      <xdr:rowOff>94506</xdr:rowOff>
    </xdr:to>
    <xdr:sp macro="" textlink="">
      <xdr:nvSpPr>
        <xdr:cNvPr id="29" name="TextBox 28"/>
        <xdr:cNvSpPr txBox="1"/>
      </xdr:nvSpPr>
      <xdr:spPr>
        <a:xfrm>
          <a:off x="3512344" y="6712744"/>
          <a:ext cx="981661" cy="430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C</a:t>
          </a:r>
        </a:p>
      </xdr:txBody>
    </xdr:sp>
    <xdr:clientData/>
  </xdr:twoCellAnchor>
  <xdr:twoCellAnchor>
    <xdr:from>
      <xdr:col>9</xdr:col>
      <xdr:colOff>408385</xdr:colOff>
      <xdr:row>35</xdr:row>
      <xdr:rowOff>19051</xdr:rowOff>
    </xdr:from>
    <xdr:to>
      <xdr:col>11</xdr:col>
      <xdr:colOff>125016</xdr:colOff>
      <xdr:row>37</xdr:row>
      <xdr:rowOff>59531</xdr:rowOff>
    </xdr:to>
    <xdr:sp macro="" textlink="">
      <xdr:nvSpPr>
        <xdr:cNvPr id="30" name="TextBox 29"/>
        <xdr:cNvSpPr txBox="1"/>
      </xdr:nvSpPr>
      <xdr:spPr>
        <a:xfrm>
          <a:off x="5894785" y="6686551"/>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R</a:t>
          </a:r>
        </a:p>
      </xdr:txBody>
    </xdr:sp>
    <xdr:clientData/>
  </xdr:twoCellAnchor>
  <xdr:twoCellAnchor>
    <xdr:from>
      <xdr:col>13</xdr:col>
      <xdr:colOff>342901</xdr:colOff>
      <xdr:row>35</xdr:row>
      <xdr:rowOff>42864</xdr:rowOff>
    </xdr:from>
    <xdr:to>
      <xdr:col>15</xdr:col>
      <xdr:colOff>59532</xdr:colOff>
      <xdr:row>37</xdr:row>
      <xdr:rowOff>83344</xdr:rowOff>
    </xdr:to>
    <xdr:sp macro="" textlink="">
      <xdr:nvSpPr>
        <xdr:cNvPr id="31" name="TextBox 30"/>
        <xdr:cNvSpPr txBox="1"/>
      </xdr:nvSpPr>
      <xdr:spPr>
        <a:xfrm>
          <a:off x="8267701" y="6710364"/>
          <a:ext cx="935831" cy="42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bg1"/>
              </a:solidFill>
              <a:latin typeface="Georgia" panose="02040502050405020303" pitchFamily="18" charset="0"/>
              <a:cs typeface="Calibri"/>
            </a:rPr>
            <a:t>M</a:t>
          </a:r>
        </a:p>
      </xdr:txBody>
    </xdr:sp>
    <xdr:clientData/>
  </xdr:twoCellAnchor>
  <xdr:twoCellAnchor>
    <xdr:from>
      <xdr:col>5</xdr:col>
      <xdr:colOff>416720</xdr:colOff>
      <xdr:row>38</xdr:row>
      <xdr:rowOff>92872</xdr:rowOff>
    </xdr:from>
    <xdr:to>
      <xdr:col>7</xdr:col>
      <xdr:colOff>270668</xdr:colOff>
      <xdr:row>40</xdr:row>
      <xdr:rowOff>84790</xdr:rowOff>
    </xdr:to>
    <xdr:sp macro="" textlink="Proccessing!P11">
      <xdr:nvSpPr>
        <xdr:cNvPr id="32" name="TextBox 31"/>
        <xdr:cNvSpPr txBox="1"/>
      </xdr:nvSpPr>
      <xdr:spPr>
        <a:xfrm>
          <a:off x="3464720" y="7331872"/>
          <a:ext cx="1073148" cy="372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33CAC-2C6C-4DD5-B867-AFD6493121BB}" type="TxLink">
            <a:rPr lang="en-US" sz="1100" b="1" i="0" u="none" strike="noStrike">
              <a:solidFill>
                <a:schemeClr val="bg1">
                  <a:lumMod val="50000"/>
                </a:schemeClr>
              </a:solidFill>
              <a:latin typeface="Calibri"/>
              <a:cs typeface="Calibri"/>
            </a:rPr>
            <a:pPr algn="ctr"/>
            <a:t>Customer</a:t>
          </a:fld>
          <a:endParaRPr lang="en-US" sz="2000" b="1">
            <a:solidFill>
              <a:schemeClr val="bg1">
                <a:lumMod val="50000"/>
              </a:schemeClr>
            </a:solidFill>
            <a:latin typeface="Aptos Narrow"/>
          </a:endParaRPr>
        </a:p>
      </xdr:txBody>
    </xdr:sp>
    <xdr:clientData/>
  </xdr:twoCellAnchor>
  <xdr:twoCellAnchor>
    <xdr:from>
      <xdr:col>9</xdr:col>
      <xdr:colOff>360761</xdr:colOff>
      <xdr:row>38</xdr:row>
      <xdr:rowOff>54772</xdr:rowOff>
    </xdr:from>
    <xdr:to>
      <xdr:col>11</xdr:col>
      <xdr:colOff>164587</xdr:colOff>
      <xdr:row>40</xdr:row>
      <xdr:rowOff>39079</xdr:rowOff>
    </xdr:to>
    <xdr:sp macro="" textlink="Proccessing!P12">
      <xdr:nvSpPr>
        <xdr:cNvPr id="33" name="TextBox 32"/>
        <xdr:cNvSpPr txBox="1"/>
      </xdr:nvSpPr>
      <xdr:spPr>
        <a:xfrm>
          <a:off x="5847161" y="7293772"/>
          <a:ext cx="1023026" cy="365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B5AAF-95EF-4419-88CB-135D568731B3}" type="TxLink">
            <a:rPr lang="en-US" sz="1100" b="1" i="0" u="none" strike="noStrike">
              <a:solidFill>
                <a:schemeClr val="bg1">
                  <a:lumMod val="50000"/>
                </a:schemeClr>
              </a:solidFill>
              <a:latin typeface="Calibri"/>
              <a:cs typeface="Calibri"/>
            </a:rPr>
            <a:pPr algn="ctr"/>
            <a:t>Relationship</a:t>
          </a:fld>
          <a:endParaRPr lang="en-US" sz="2000" b="1">
            <a:solidFill>
              <a:schemeClr val="bg1">
                <a:lumMod val="50000"/>
              </a:schemeClr>
            </a:solidFill>
            <a:latin typeface="Aptos Narrow"/>
          </a:endParaRPr>
        </a:p>
      </xdr:txBody>
    </xdr:sp>
    <xdr:clientData/>
  </xdr:twoCellAnchor>
  <xdr:twoCellAnchor>
    <xdr:from>
      <xdr:col>13</xdr:col>
      <xdr:colOff>330995</xdr:colOff>
      <xdr:row>38</xdr:row>
      <xdr:rowOff>90492</xdr:rowOff>
    </xdr:from>
    <xdr:to>
      <xdr:col>15</xdr:col>
      <xdr:colOff>95252</xdr:colOff>
      <xdr:row>40</xdr:row>
      <xdr:rowOff>71440</xdr:rowOff>
    </xdr:to>
    <xdr:sp macro="" textlink="Proccessing!P13">
      <xdr:nvSpPr>
        <xdr:cNvPr id="34" name="TextBox 33"/>
        <xdr:cNvSpPr txBox="1"/>
      </xdr:nvSpPr>
      <xdr:spPr>
        <a:xfrm>
          <a:off x="8255795" y="7329492"/>
          <a:ext cx="983457" cy="36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EFF7D-92A9-4950-94C6-C800E610ADA1}" type="TxLink">
            <a:rPr lang="en-US" sz="1100" b="1" i="0" u="none" strike="noStrike">
              <a:solidFill>
                <a:schemeClr val="bg1">
                  <a:lumMod val="50000"/>
                </a:schemeClr>
              </a:solidFill>
              <a:latin typeface="Calibri"/>
              <a:cs typeface="Calibri"/>
            </a:rPr>
            <a:pPr algn="ctr"/>
            <a:t>Management</a:t>
          </a:fld>
          <a:endParaRPr lang="en-US" sz="2000" b="1">
            <a:solidFill>
              <a:schemeClr val="bg1">
                <a:lumMod val="50000"/>
              </a:schemeClr>
            </a:solidFill>
            <a:latin typeface="Aptos Narrow"/>
          </a:endParaRPr>
        </a:p>
      </xdr:txBody>
    </xdr:sp>
    <xdr:clientData/>
  </xdr:twoCellAnchor>
  <xdr:twoCellAnchor>
    <xdr:from>
      <xdr:col>17</xdr:col>
      <xdr:colOff>41779</xdr:colOff>
      <xdr:row>29</xdr:row>
      <xdr:rowOff>22410</xdr:rowOff>
    </xdr:from>
    <xdr:to>
      <xdr:col>22</xdr:col>
      <xdr:colOff>500589</xdr:colOff>
      <xdr:row>40</xdr:row>
      <xdr:rowOff>134469</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170332</xdr:colOff>
      <xdr:row>28</xdr:row>
      <xdr:rowOff>145677</xdr:rowOff>
    </xdr:from>
    <xdr:to>
      <xdr:col>22</xdr:col>
      <xdr:colOff>372037</xdr:colOff>
      <xdr:row>41</xdr:row>
      <xdr:rowOff>123264</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120390</xdr:colOff>
      <xdr:row>27</xdr:row>
      <xdr:rowOff>111990</xdr:rowOff>
    </xdr:from>
    <xdr:to>
      <xdr:col>18</xdr:col>
      <xdr:colOff>448897</xdr:colOff>
      <xdr:row>29</xdr:row>
      <xdr:rowOff>32218</xdr:rowOff>
    </xdr:to>
    <xdr:sp macro="" textlink="Proccessing!P1">
      <xdr:nvSpPr>
        <xdr:cNvPr id="37" name="TextBox 36"/>
        <xdr:cNvSpPr txBox="1"/>
      </xdr:nvSpPr>
      <xdr:spPr>
        <a:xfrm>
          <a:off x="10483590" y="5255490"/>
          <a:ext cx="938107"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2B463-C417-4387-ADCD-DED7BA437E68}" type="TxLink">
            <a:rPr lang="en-US" sz="1100" b="0" i="0" u="none" strike="noStrike">
              <a:solidFill>
                <a:schemeClr val="bg1"/>
              </a:solidFill>
              <a:latin typeface="Calibri"/>
              <a:cs typeface="Calibri"/>
            </a:rPr>
            <a:pPr/>
            <a:t>Point of Sale</a:t>
          </a:fld>
          <a:endParaRPr lang="en-US" sz="2400" b="0">
            <a:solidFill>
              <a:schemeClr val="bg1"/>
            </a:solidFill>
            <a:latin typeface="Aptos Narrow"/>
          </a:endParaRPr>
        </a:p>
      </xdr:txBody>
    </xdr:sp>
    <xdr:clientData/>
  </xdr:twoCellAnchor>
  <xdr:twoCellAnchor>
    <xdr:from>
      <xdr:col>20</xdr:col>
      <xdr:colOff>593911</xdr:colOff>
      <xdr:row>27</xdr:row>
      <xdr:rowOff>100784</xdr:rowOff>
    </xdr:from>
    <xdr:to>
      <xdr:col>21</xdr:col>
      <xdr:colOff>448895</xdr:colOff>
      <xdr:row>29</xdr:row>
      <xdr:rowOff>21012</xdr:rowOff>
    </xdr:to>
    <xdr:sp macro="" textlink="Proccessing!Q1">
      <xdr:nvSpPr>
        <xdr:cNvPr id="38" name="TextBox 37"/>
        <xdr:cNvSpPr txBox="1"/>
      </xdr:nvSpPr>
      <xdr:spPr>
        <a:xfrm>
          <a:off x="12785911" y="5244284"/>
          <a:ext cx="464584"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D320050-B1A6-44B6-BDB1-6C6ABB139E09}" type="TxLink">
            <a:rPr lang="en-US" sz="1100" b="0" i="0" u="none" strike="noStrike">
              <a:solidFill>
                <a:schemeClr val="bg1"/>
              </a:solidFill>
              <a:latin typeface="Calibri"/>
              <a:cs typeface="Calibri"/>
            </a:rPr>
            <a:pPr algn="r"/>
            <a:t>KPI</a:t>
          </a:fld>
          <a:endParaRPr lang="en-US" sz="2400" b="0">
            <a:solidFill>
              <a:schemeClr val="bg1"/>
            </a:solidFill>
            <a:latin typeface="Aptos Narrow"/>
          </a:endParaRPr>
        </a:p>
      </xdr:txBody>
    </xdr:sp>
    <xdr:clientData/>
  </xdr:twoCellAnchor>
  <xdr:twoCellAnchor>
    <xdr:from>
      <xdr:col>21</xdr:col>
      <xdr:colOff>56029</xdr:colOff>
      <xdr:row>28</xdr:row>
      <xdr:rowOff>190431</xdr:rowOff>
    </xdr:from>
    <xdr:to>
      <xdr:col>21</xdr:col>
      <xdr:colOff>516131</xdr:colOff>
      <xdr:row>30</xdr:row>
      <xdr:rowOff>110659</xdr:rowOff>
    </xdr:to>
    <xdr:sp macro="" textlink="Proccessing!R1">
      <xdr:nvSpPr>
        <xdr:cNvPr id="39" name="TextBox 38"/>
        <xdr:cNvSpPr txBox="1"/>
      </xdr:nvSpPr>
      <xdr:spPr>
        <a:xfrm>
          <a:off x="12857629" y="5524431"/>
          <a:ext cx="460102" cy="301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7C1F490-BE9E-4B0D-B641-4D0E4D7B13AA}" type="TxLink">
            <a:rPr lang="en-US" sz="1100" b="0" i="0" u="none" strike="noStrike">
              <a:solidFill>
                <a:schemeClr val="bg1"/>
              </a:solidFill>
              <a:latin typeface="Calibri"/>
              <a:cs typeface="Calibri"/>
            </a:rPr>
            <a:pPr algn="r"/>
            <a:t>Cost</a:t>
          </a:fld>
          <a:endParaRPr lang="en-US" sz="2400" b="0">
            <a:solidFill>
              <a:schemeClr val="bg1"/>
            </a:solidFill>
            <a:latin typeface="Aptos Narrow"/>
          </a:endParaRPr>
        </a:p>
      </xdr:txBody>
    </xdr:sp>
    <xdr:clientData/>
  </xdr:twoCellAnchor>
  <xdr:twoCellAnchor>
    <xdr:from>
      <xdr:col>21</xdr:col>
      <xdr:colOff>448235</xdr:colOff>
      <xdr:row>27</xdr:row>
      <xdr:rowOff>190499</xdr:rowOff>
    </xdr:from>
    <xdr:to>
      <xdr:col>21</xdr:col>
      <xdr:colOff>585395</xdr:colOff>
      <xdr:row>28</xdr:row>
      <xdr:rowOff>137159</xdr:rowOff>
    </xdr:to>
    <xdr:sp macro="" textlink="">
      <xdr:nvSpPr>
        <xdr:cNvPr id="40" name="Oval 39"/>
        <xdr:cNvSpPr/>
      </xdr:nvSpPr>
      <xdr:spPr>
        <a:xfrm>
          <a:off x="13249835" y="5333999"/>
          <a:ext cx="137160" cy="137160"/>
        </a:xfrm>
        <a:prstGeom prst="ellipse">
          <a:avLst/>
        </a:prstGeom>
        <a:noFill/>
        <a:ln>
          <a:solidFill>
            <a:srgbClr val="5BF63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448235</xdr:colOff>
      <xdr:row>29</xdr:row>
      <xdr:rowOff>73957</xdr:rowOff>
    </xdr:from>
    <xdr:to>
      <xdr:col>21</xdr:col>
      <xdr:colOff>585395</xdr:colOff>
      <xdr:row>30</xdr:row>
      <xdr:rowOff>20617</xdr:rowOff>
    </xdr:to>
    <xdr:sp macro="" textlink="">
      <xdr:nvSpPr>
        <xdr:cNvPr id="41" name="Oval 40"/>
        <xdr:cNvSpPr/>
      </xdr:nvSpPr>
      <xdr:spPr>
        <a:xfrm>
          <a:off x="13249835" y="5598457"/>
          <a:ext cx="137160" cy="137160"/>
        </a:xfrm>
        <a:prstGeom prst="ellipse">
          <a:avLst/>
        </a:prstGeom>
        <a:noFill/>
        <a:ln>
          <a:solidFill>
            <a:srgbClr val="8439BD"/>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504825</xdr:colOff>
      <xdr:row>8</xdr:row>
      <xdr:rowOff>180976</xdr:rowOff>
    </xdr:from>
    <xdr:to>
      <xdr:col>11</xdr:col>
      <xdr:colOff>438150</xdr:colOff>
      <xdr:row>13</xdr:row>
      <xdr:rowOff>104776</xdr:rowOff>
    </xdr:to>
    <xdr:sp macro="" textlink="">
      <xdr:nvSpPr>
        <xdr:cNvPr id="42" name="TextBox 41"/>
        <xdr:cNvSpPr txBox="1"/>
      </xdr:nvSpPr>
      <xdr:spPr>
        <a:xfrm>
          <a:off x="2943225" y="1704976"/>
          <a:ext cx="420052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4000" b="0" i="0" u="none" strike="noStrike">
              <a:solidFill>
                <a:schemeClr val="bg1"/>
              </a:solidFill>
              <a:latin typeface="Georgia" panose="02040502050405020303" pitchFamily="18" charset="0"/>
              <a:ea typeface="+mn-ea"/>
              <a:cs typeface="Calibri"/>
            </a:rPr>
            <a:t>CRM </a:t>
          </a:r>
          <a:r>
            <a:rPr lang="en-US" sz="3500" b="0" i="0" u="none" strike="noStrike">
              <a:solidFill>
                <a:schemeClr val="bg1"/>
              </a:solidFill>
              <a:latin typeface="Georgia" panose="02040502050405020303" pitchFamily="18" charset="0"/>
              <a:ea typeface="+mn-ea"/>
              <a:cs typeface="Calibri"/>
            </a:rPr>
            <a:t>Dashboard</a:t>
          </a:r>
        </a:p>
      </xdr:txBody>
    </xdr:sp>
    <xdr:clientData/>
  </xdr:twoCellAnchor>
  <xdr:twoCellAnchor editAs="oneCell">
    <xdr:from>
      <xdr:col>5</xdr:col>
      <xdr:colOff>272940</xdr:colOff>
      <xdr:row>28</xdr:row>
      <xdr:rowOff>20399</xdr:rowOff>
    </xdr:from>
    <xdr:to>
      <xdr:col>15</xdr:col>
      <xdr:colOff>476250</xdr:colOff>
      <xdr:row>30</xdr:row>
      <xdr:rowOff>77548</xdr:rowOff>
    </xdr:to>
    <mc:AlternateContent xmlns:mc="http://schemas.openxmlformats.org/markup-compatibility/2006" xmlns:a14="http://schemas.microsoft.com/office/drawing/2010/main">
      <mc:Choice Requires="a14">
        <xdr:graphicFrame macro="">
          <xdr:nvGraphicFramePr>
            <xdr:cNvPr id="43" name="Month 3"/>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320940" y="5354399"/>
              <a:ext cx="6299310"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36635</xdr:colOff>
      <xdr:row>13</xdr:row>
      <xdr:rowOff>146539</xdr:rowOff>
    </xdr:from>
    <xdr:to>
      <xdr:col>22</xdr:col>
      <xdr:colOff>439616</xdr:colOff>
      <xdr:row>25</xdr:row>
      <xdr:rowOff>85481</xdr:rowOff>
    </xdr:to>
    <xdr:sp macro="" textlink="">
      <xdr:nvSpPr>
        <xdr:cNvPr id="44" name="Rectangle 43">
          <a:hlinkClick xmlns:r="http://schemas.openxmlformats.org/officeDocument/2006/relationships" r:id="rId8"/>
        </xdr:cNvPr>
        <xdr:cNvSpPr/>
      </xdr:nvSpPr>
      <xdr:spPr>
        <a:xfrm>
          <a:off x="10399835" y="2623039"/>
          <a:ext cx="3450981" cy="22249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348143</xdr:colOff>
      <xdr:row>10</xdr:row>
      <xdr:rowOff>115420</xdr:rowOff>
    </xdr:from>
    <xdr:to>
      <xdr:col>21</xdr:col>
      <xdr:colOff>84008</xdr:colOff>
      <xdr:row>12</xdr:row>
      <xdr:rowOff>122917</xdr:rowOff>
    </xdr:to>
    <xdr:pic>
      <xdr:nvPicPr>
        <xdr:cNvPr id="45" name="Picture 44"/>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0" b="99628" l="0" r="100000"/>
                  </a14:imgEffect>
                </a14:imgLayer>
              </a14:imgProps>
            </a:ext>
          </a:extLst>
        </a:blip>
        <a:stretch>
          <a:fillRect/>
        </a:stretch>
      </xdr:blipFill>
      <xdr:spPr>
        <a:xfrm>
          <a:off x="12540143" y="2020420"/>
          <a:ext cx="345465" cy="388497"/>
        </a:xfrm>
        <a:prstGeom prst="rect">
          <a:avLst/>
        </a:prstGeom>
      </xdr:spPr>
    </xdr:pic>
    <xdr:clientData/>
  </xdr:twoCellAnchor>
  <xdr:twoCellAnchor editAs="oneCell">
    <xdr:from>
      <xdr:col>1</xdr:col>
      <xdr:colOff>0</xdr:colOff>
      <xdr:row>8</xdr:row>
      <xdr:rowOff>0</xdr:rowOff>
    </xdr:from>
    <xdr:to>
      <xdr:col>1</xdr:col>
      <xdr:colOff>304800</xdr:colOff>
      <xdr:row>9</xdr:row>
      <xdr:rowOff>114300</xdr:rowOff>
    </xdr:to>
    <xdr:sp macro="" textlink="">
      <xdr:nvSpPr>
        <xdr:cNvPr id="46" name="AutoShape 3" descr="Sun icon. Vector Stock Vector Image by ©mcherevan #3840930"/>
        <xdr:cNvSpPr>
          <a:spLocks noChangeAspect="1" noChangeArrowheads="1"/>
        </xdr:cNvSpPr>
      </xdr:nvSpPr>
      <xdr:spPr bwMode="auto">
        <a:xfrm>
          <a:off x="609600"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54242</xdr:colOff>
      <xdr:row>10</xdr:row>
      <xdr:rowOff>125463</xdr:rowOff>
    </xdr:from>
    <xdr:to>
      <xdr:col>19</xdr:col>
      <xdr:colOff>421352</xdr:colOff>
      <xdr:row>12</xdr:row>
      <xdr:rowOff>112873</xdr:rowOff>
    </xdr:to>
    <xdr:pic>
      <xdr:nvPicPr>
        <xdr:cNvPr id="47" name="Picture 46" descr="Sun Icon, Transparent Sun.PNG Images &amp; Vector - FreeIconsPNG">
          <a:hlinkClick xmlns:r="http://schemas.openxmlformats.org/officeDocument/2006/relationships" r:id="rId11"/>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0" b="100000" l="0" r="100000"/>
                  </a14:imgEffect>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11636642" y="2030463"/>
          <a:ext cx="367110" cy="368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0</xdr:colOff>
      <xdr:row>10</xdr:row>
      <xdr:rowOff>0</xdr:rowOff>
    </xdr:from>
    <xdr:to>
      <xdr:col>15</xdr:col>
      <xdr:colOff>363652</xdr:colOff>
      <xdr:row>11</xdr:row>
      <xdr:rowOff>71439</xdr:rowOff>
    </xdr:to>
    <xdr:sp macro="" textlink="">
      <xdr:nvSpPr>
        <xdr:cNvPr id="2" name="Rounded Rectangle 2"/>
        <xdr:cNvSpPr/>
      </xdr:nvSpPr>
      <xdr:spPr>
        <a:xfrm>
          <a:off x="7960179" y="1905000"/>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51F5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9525</xdr:colOff>
      <xdr:row>12</xdr:row>
      <xdr:rowOff>57150</xdr:rowOff>
    </xdr:from>
    <xdr:to>
      <xdr:col>15</xdr:col>
      <xdr:colOff>373177</xdr:colOff>
      <xdr:row>13</xdr:row>
      <xdr:rowOff>128589</xdr:rowOff>
    </xdr:to>
    <xdr:sp macro="" textlink="">
      <xdr:nvSpPr>
        <xdr:cNvPr id="3" name="Rounded Rectangle 2"/>
        <xdr:cNvSpPr/>
      </xdr:nvSpPr>
      <xdr:spPr>
        <a:xfrm flipV="1">
          <a:off x="7969704" y="2343150"/>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8439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163286</xdr:colOff>
      <xdr:row>10</xdr:row>
      <xdr:rowOff>0</xdr:rowOff>
    </xdr:from>
    <xdr:to>
      <xdr:col>18</xdr:col>
      <xdr:colOff>526937</xdr:colOff>
      <xdr:row>11</xdr:row>
      <xdr:rowOff>71439</xdr:rowOff>
    </xdr:to>
    <xdr:sp macro="" textlink="">
      <xdr:nvSpPr>
        <xdr:cNvPr id="4" name="Rounded Rectangle 2"/>
        <xdr:cNvSpPr/>
      </xdr:nvSpPr>
      <xdr:spPr>
        <a:xfrm>
          <a:off x="9960429" y="1905000"/>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153761</xdr:colOff>
      <xdr:row>12</xdr:row>
      <xdr:rowOff>57150</xdr:rowOff>
    </xdr:from>
    <xdr:to>
      <xdr:col>18</xdr:col>
      <xdr:colOff>517412</xdr:colOff>
      <xdr:row>13</xdr:row>
      <xdr:rowOff>128589</xdr:rowOff>
    </xdr:to>
    <xdr:sp macro="" textlink="">
      <xdr:nvSpPr>
        <xdr:cNvPr id="5" name="Rounded Rectangle 2"/>
        <xdr:cNvSpPr/>
      </xdr:nvSpPr>
      <xdr:spPr>
        <a:xfrm flipV="1">
          <a:off x="9950904" y="2343150"/>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10</xdr:row>
      <xdr:rowOff>13607</xdr:rowOff>
    </xdr:from>
    <xdr:to>
      <xdr:col>8</xdr:col>
      <xdr:colOff>322830</xdr:colOff>
      <xdr:row>11</xdr:row>
      <xdr:rowOff>85046</xdr:rowOff>
    </xdr:to>
    <xdr:sp macro="" textlink="">
      <xdr:nvSpPr>
        <xdr:cNvPr id="6" name="Rounded Rectangle 2"/>
        <xdr:cNvSpPr/>
      </xdr:nvSpPr>
      <xdr:spPr>
        <a:xfrm>
          <a:off x="3633107" y="1918607"/>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00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581025</xdr:colOff>
      <xdr:row>12</xdr:row>
      <xdr:rowOff>70757</xdr:rowOff>
    </xdr:from>
    <xdr:to>
      <xdr:col>8</xdr:col>
      <xdr:colOff>332355</xdr:colOff>
      <xdr:row>13</xdr:row>
      <xdr:rowOff>142196</xdr:rowOff>
    </xdr:to>
    <xdr:sp macro="" textlink="">
      <xdr:nvSpPr>
        <xdr:cNvPr id="7" name="Rounded Rectangle 2"/>
        <xdr:cNvSpPr/>
      </xdr:nvSpPr>
      <xdr:spPr>
        <a:xfrm flipV="1">
          <a:off x="3642632" y="2356757"/>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6A47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122464</xdr:colOff>
      <xdr:row>10</xdr:row>
      <xdr:rowOff>13607</xdr:rowOff>
    </xdr:from>
    <xdr:to>
      <xdr:col>11</xdr:col>
      <xdr:colOff>486115</xdr:colOff>
      <xdr:row>11</xdr:row>
      <xdr:rowOff>85046</xdr:rowOff>
    </xdr:to>
    <xdr:sp macro="" textlink="">
      <xdr:nvSpPr>
        <xdr:cNvPr id="8" name="Rounded Rectangle 2"/>
        <xdr:cNvSpPr/>
      </xdr:nvSpPr>
      <xdr:spPr>
        <a:xfrm>
          <a:off x="5633357" y="1918607"/>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5A637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112939</xdr:colOff>
      <xdr:row>12</xdr:row>
      <xdr:rowOff>70757</xdr:rowOff>
    </xdr:from>
    <xdr:to>
      <xdr:col>11</xdr:col>
      <xdr:colOff>476590</xdr:colOff>
      <xdr:row>13</xdr:row>
      <xdr:rowOff>142196</xdr:rowOff>
    </xdr:to>
    <xdr:sp macro="" textlink="">
      <xdr:nvSpPr>
        <xdr:cNvPr id="9" name="Rounded Rectangle 2"/>
        <xdr:cNvSpPr/>
      </xdr:nvSpPr>
      <xdr:spPr>
        <a:xfrm flipV="1">
          <a:off x="5623832" y="2356757"/>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5A637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776287</xdr:colOff>
      <xdr:row>16</xdr:row>
      <xdr:rowOff>142873</xdr:rowOff>
    </xdr:from>
    <xdr:to>
      <xdr:col>10</xdr:col>
      <xdr:colOff>669131</xdr:colOff>
      <xdr:row>18</xdr:row>
      <xdr:rowOff>23812</xdr:rowOff>
    </xdr:to>
    <xdr:sp macro="" textlink="">
      <xdr:nvSpPr>
        <xdr:cNvPr id="2" name="Rounded Rectangle 2"/>
        <xdr:cNvSpPr/>
      </xdr:nvSpPr>
      <xdr:spPr>
        <a:xfrm>
          <a:off x="8662987" y="31908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776287</xdr:colOff>
      <xdr:row>19</xdr:row>
      <xdr:rowOff>9523</xdr:rowOff>
    </xdr:from>
    <xdr:to>
      <xdr:col>10</xdr:col>
      <xdr:colOff>669131</xdr:colOff>
      <xdr:row>20</xdr:row>
      <xdr:rowOff>80962</xdr:rowOff>
    </xdr:to>
    <xdr:sp macro="" textlink="">
      <xdr:nvSpPr>
        <xdr:cNvPr id="3" name="Rounded Rectangle 2"/>
        <xdr:cNvSpPr/>
      </xdr:nvSpPr>
      <xdr:spPr>
        <a:xfrm flipV="1">
          <a:off x="8662987" y="36290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233362</xdr:colOff>
      <xdr:row>16</xdr:row>
      <xdr:rowOff>123823</xdr:rowOff>
    </xdr:from>
    <xdr:to>
      <xdr:col>13</xdr:col>
      <xdr:colOff>192881</xdr:colOff>
      <xdr:row>18</xdr:row>
      <xdr:rowOff>4762</xdr:rowOff>
    </xdr:to>
    <xdr:sp macro="" textlink="">
      <xdr:nvSpPr>
        <xdr:cNvPr id="4" name="Rounded Rectangle 2"/>
        <xdr:cNvSpPr/>
      </xdr:nvSpPr>
      <xdr:spPr>
        <a:xfrm>
          <a:off x="10615612" y="31718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51F5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242887</xdr:colOff>
      <xdr:row>18</xdr:row>
      <xdr:rowOff>180973</xdr:rowOff>
    </xdr:from>
    <xdr:to>
      <xdr:col>13</xdr:col>
      <xdr:colOff>202406</xdr:colOff>
      <xdr:row>20</xdr:row>
      <xdr:rowOff>61912</xdr:rowOff>
    </xdr:to>
    <xdr:sp macro="" textlink="">
      <xdr:nvSpPr>
        <xdr:cNvPr id="5" name="Rounded Rectangle 2"/>
        <xdr:cNvSpPr/>
      </xdr:nvSpPr>
      <xdr:spPr>
        <a:xfrm flipV="1">
          <a:off x="10625137" y="36099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8439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604837</xdr:colOff>
      <xdr:row>16</xdr:row>
      <xdr:rowOff>123823</xdr:rowOff>
    </xdr:from>
    <xdr:to>
      <xdr:col>15</xdr:col>
      <xdr:colOff>592931</xdr:colOff>
      <xdr:row>18</xdr:row>
      <xdr:rowOff>4762</xdr:rowOff>
    </xdr:to>
    <xdr:sp macro="" textlink="">
      <xdr:nvSpPr>
        <xdr:cNvPr id="6" name="Rounded Rectangle 2"/>
        <xdr:cNvSpPr/>
      </xdr:nvSpPr>
      <xdr:spPr>
        <a:xfrm>
          <a:off x="12615862" y="317182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595312</xdr:colOff>
      <xdr:row>18</xdr:row>
      <xdr:rowOff>180973</xdr:rowOff>
    </xdr:from>
    <xdr:to>
      <xdr:col>15</xdr:col>
      <xdr:colOff>583406</xdr:colOff>
      <xdr:row>20</xdr:row>
      <xdr:rowOff>61912</xdr:rowOff>
    </xdr:to>
    <xdr:sp macro="" textlink="">
      <xdr:nvSpPr>
        <xdr:cNvPr id="7" name="Rounded Rectangle 2"/>
        <xdr:cNvSpPr/>
      </xdr:nvSpPr>
      <xdr:spPr>
        <a:xfrm flipV="1">
          <a:off x="12606337" y="3609973"/>
          <a:ext cx="1588294" cy="261939"/>
        </a:xfrm>
        <a:custGeom>
          <a:avLst/>
          <a:gdLst>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248049 w 1690687"/>
            <a:gd name="connsiteY6" fmla="*/ 702469 h 702469"/>
            <a:gd name="connsiteX7" fmla="*/ 0 w 1690687"/>
            <a:gd name="connsiteY7" fmla="*/ 454420 h 702469"/>
            <a:gd name="connsiteX8" fmla="*/ 0 w 1690687"/>
            <a:gd name="connsiteY8" fmla="*/ 248049 h 702469"/>
            <a:gd name="connsiteX0" fmla="*/ 0 w 1690687"/>
            <a:gd name="connsiteY0" fmla="*/ 248049 h 702469"/>
            <a:gd name="connsiteX1" fmla="*/ 248049 w 1690687"/>
            <a:gd name="connsiteY1" fmla="*/ 0 h 702469"/>
            <a:gd name="connsiteX2" fmla="*/ 1442638 w 1690687"/>
            <a:gd name="connsiteY2" fmla="*/ 0 h 702469"/>
            <a:gd name="connsiteX3" fmla="*/ 1690687 w 1690687"/>
            <a:gd name="connsiteY3" fmla="*/ 248049 h 702469"/>
            <a:gd name="connsiteX4" fmla="*/ 1690687 w 1690687"/>
            <a:gd name="connsiteY4" fmla="*/ 454420 h 702469"/>
            <a:gd name="connsiteX5" fmla="*/ 1442638 w 1690687"/>
            <a:gd name="connsiteY5" fmla="*/ 702469 h 702469"/>
            <a:gd name="connsiteX6" fmla="*/ 0 w 1690687"/>
            <a:gd name="connsiteY6" fmla="*/ 454420 h 702469"/>
            <a:gd name="connsiteX7" fmla="*/ 0 w 1690687"/>
            <a:gd name="connsiteY7" fmla="*/ 248049 h 702469"/>
            <a:gd name="connsiteX0" fmla="*/ 0 w 1690687"/>
            <a:gd name="connsiteY0" fmla="*/ 248049 h 480216"/>
            <a:gd name="connsiteX1" fmla="*/ 248049 w 1690687"/>
            <a:gd name="connsiteY1" fmla="*/ 0 h 480216"/>
            <a:gd name="connsiteX2" fmla="*/ 1442638 w 1690687"/>
            <a:gd name="connsiteY2" fmla="*/ 0 h 480216"/>
            <a:gd name="connsiteX3" fmla="*/ 1690687 w 1690687"/>
            <a:gd name="connsiteY3" fmla="*/ 248049 h 480216"/>
            <a:gd name="connsiteX4" fmla="*/ 1690687 w 1690687"/>
            <a:gd name="connsiteY4" fmla="*/ 454420 h 480216"/>
            <a:gd name="connsiteX5" fmla="*/ 0 w 1690687"/>
            <a:gd name="connsiteY5" fmla="*/ 454420 h 480216"/>
            <a:gd name="connsiteX6" fmla="*/ 0 w 1690687"/>
            <a:gd name="connsiteY6" fmla="*/ 248049 h 480216"/>
            <a:gd name="connsiteX0" fmla="*/ 0 w 1690687"/>
            <a:gd name="connsiteY0" fmla="*/ 248049 h 454420"/>
            <a:gd name="connsiteX1" fmla="*/ 248049 w 1690687"/>
            <a:gd name="connsiteY1" fmla="*/ 0 h 454420"/>
            <a:gd name="connsiteX2" fmla="*/ 1442638 w 1690687"/>
            <a:gd name="connsiteY2" fmla="*/ 0 h 454420"/>
            <a:gd name="connsiteX3" fmla="*/ 1690687 w 1690687"/>
            <a:gd name="connsiteY3" fmla="*/ 248049 h 454420"/>
            <a:gd name="connsiteX4" fmla="*/ 0 w 1690687"/>
            <a:gd name="connsiteY4" fmla="*/ 454420 h 454420"/>
            <a:gd name="connsiteX5" fmla="*/ 0 w 1690687"/>
            <a:gd name="connsiteY5" fmla="*/ 248049 h 454420"/>
            <a:gd name="connsiteX0" fmla="*/ 0 w 1690687"/>
            <a:gd name="connsiteY0" fmla="*/ 248049 h 248049"/>
            <a:gd name="connsiteX1" fmla="*/ 248049 w 1690687"/>
            <a:gd name="connsiteY1" fmla="*/ 0 h 248049"/>
            <a:gd name="connsiteX2" fmla="*/ 1442638 w 1690687"/>
            <a:gd name="connsiteY2" fmla="*/ 0 h 248049"/>
            <a:gd name="connsiteX3" fmla="*/ 1690687 w 1690687"/>
            <a:gd name="connsiteY3" fmla="*/ 248049 h 248049"/>
            <a:gd name="connsiteX4" fmla="*/ 0 w 1690687"/>
            <a:gd name="connsiteY4" fmla="*/ 248049 h 24804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90687" h="248049">
              <a:moveTo>
                <a:pt x="0" y="248049"/>
              </a:moveTo>
              <a:cubicBezTo>
                <a:pt x="0" y="111055"/>
                <a:pt x="111055" y="0"/>
                <a:pt x="248049" y="0"/>
              </a:cubicBezTo>
              <a:lnTo>
                <a:pt x="1442638" y="0"/>
              </a:lnTo>
              <a:cubicBezTo>
                <a:pt x="1579632" y="0"/>
                <a:pt x="1690687" y="111055"/>
                <a:pt x="1690687" y="248049"/>
              </a:cubicBezTo>
              <a:lnTo>
                <a:pt x="0" y="248049"/>
              </a:lnTo>
              <a:close/>
            </a:path>
          </a:pathLst>
        </a:custGeom>
        <a:solidFill>
          <a:srgbClr val="C3DC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789.518879166666" createdVersion="6" refreshedVersion="6" minRefreshableVersion="3" recordCount="48">
  <cacheSource type="worksheet">
    <worksheetSource name="Exceldata"/>
  </cacheSource>
  <cacheFields count="19">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Active Client Count" numFmtId="0">
      <sharedItems containsSemiMixedTypes="0" containsString="0" containsNumber="1" containsInteger="1" minValue="470" maxValue="1135"/>
    </cacheField>
    <cacheField name="Average Client Count" numFmtId="0">
      <sharedItems containsSemiMixedTypes="0" containsString="0" containsNumber="1" containsInteger="1" minValue="500" maxValue="1075"/>
    </cacheField>
    <cacheField name="New Clients" numFmtId="0">
      <sharedItems containsSemiMixedTypes="0" containsString="0" containsNumber="1" containsInteger="1" minValue="448" maxValue="1110"/>
    </cacheField>
    <cacheField name="Regular Clients" numFmtId="0">
      <sharedItems containsSemiMixedTypes="0" containsString="0" containsNumber="1" containsInteger="1" minValue="580" maxValue="1043"/>
    </cacheField>
    <cacheField name="Customer" numFmtId="9">
      <sharedItems containsSemiMixedTypes="0" containsString="0" containsNumber="1" minValue="0.05" maxValue="0.95"/>
    </cacheField>
    <cacheField name="Relationship" numFmtId="9">
      <sharedItems containsSemiMixedTypes="0" containsString="0" containsNumber="1" minValue="7.0000000000000007E-2" maxValue="0.95"/>
    </cacheField>
    <cacheField name="Management" numFmtId="9">
      <sharedItems containsSemiMixedTypes="0" containsString="0" containsNumber="1" minValue="0.06" maxValue="0.95"/>
    </cacheField>
    <cacheField name="K Point 1" numFmtId="0">
      <sharedItems containsSemiMixedTypes="0" containsString="0" containsNumber="1" containsInteger="1" minValue="17731" maxValue="46994"/>
    </cacheField>
    <cacheField name="K Point 2" numFmtId="0">
      <sharedItems containsSemiMixedTypes="0" containsString="0" containsNumber="1" containsInteger="1" minValue="16090" maxValue="47047"/>
    </cacheField>
    <cacheField name="K Point 3" numFmtId="0">
      <sharedItems containsSemiMixedTypes="0" containsString="0" containsNumber="1" containsInteger="1" minValue="12112" maxValue="44873"/>
    </cacheField>
    <cacheField name="K Point 4" numFmtId="0">
      <sharedItems containsSemiMixedTypes="0" containsString="0" containsNumber="1" containsInteger="1" minValue="13294" maxValue="44085"/>
    </cacheField>
    <cacheField name="K Point 5" numFmtId="0">
      <sharedItems containsSemiMixedTypes="0" containsString="0" containsNumber="1" containsInteger="1" minValue="16480" maxValue="47915"/>
    </cacheField>
    <cacheField name="C Point 1" numFmtId="44">
      <sharedItems containsSemiMixedTypes="0" containsString="0" containsNumber="1" containsInteger="1" minValue="22158" maxValue="38097"/>
    </cacheField>
    <cacheField name="C Point 2" numFmtId="44">
      <sharedItems containsSemiMixedTypes="0" containsString="0" containsNumber="1" containsInteger="1" minValue="21398" maxValue="37888"/>
    </cacheField>
    <cacheField name="C Point 3" numFmtId="44">
      <sharedItems containsSemiMixedTypes="0" containsString="0" containsNumber="1" containsInteger="1" minValue="21686" maxValue="38027"/>
    </cacheField>
    <cacheField name="C Point 4" numFmtId="44">
      <sharedItems containsSemiMixedTypes="0" containsString="0" containsNumber="1" containsInteger="1" minValue="21308" maxValue="37622"/>
    </cacheField>
    <cacheField name="C Point 5" numFmtId="44">
      <sharedItems containsSemiMixedTypes="0" containsString="0" containsNumber="1" containsInteger="1" minValue="21286" maxValue="3920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8">
  <r>
    <x v="0"/>
    <x v="0"/>
    <n v="694"/>
    <n v="792"/>
    <n v="654"/>
    <n v="937"/>
    <n v="0.06"/>
    <n v="0.08"/>
    <n v="7.0000000000000007E-2"/>
    <n v="32852"/>
    <n v="41621"/>
    <n v="13294"/>
    <n v="33787"/>
    <n v="27584"/>
    <n v="30225"/>
    <n v="30947"/>
    <n v="28551"/>
    <n v="28039"/>
    <n v="39202"/>
  </r>
  <r>
    <x v="0"/>
    <x v="1"/>
    <n v="1085"/>
    <n v="753"/>
    <n v="756"/>
    <n v="657"/>
    <n v="0.15"/>
    <n v="0.12"/>
    <n v="0.18"/>
    <n v="36228"/>
    <n v="31001"/>
    <n v="24043"/>
    <n v="24387"/>
    <n v="32505"/>
    <n v="24108"/>
    <n v="37255"/>
    <n v="29321"/>
    <n v="35250"/>
    <n v="34380"/>
  </r>
  <r>
    <x v="0"/>
    <x v="2"/>
    <n v="1034"/>
    <n v="712"/>
    <n v="885"/>
    <n v="861"/>
    <n v="0.28000000000000003"/>
    <n v="0.25"/>
    <n v="0.3"/>
    <n v="24285"/>
    <n v="37660"/>
    <n v="13281"/>
    <n v="21174"/>
    <n v="43842"/>
    <n v="28764"/>
    <n v="21427"/>
    <n v="35626"/>
    <n v="33686"/>
    <n v="34006"/>
  </r>
  <r>
    <x v="0"/>
    <x v="3"/>
    <n v="812"/>
    <n v="849"/>
    <n v="835"/>
    <n v="611"/>
    <n v="0.35"/>
    <n v="0.38"/>
    <n v="0.41"/>
    <n v="28616"/>
    <n v="25709"/>
    <n v="25612"/>
    <n v="14662"/>
    <n v="19725"/>
    <n v="33790"/>
    <n v="32505"/>
    <n v="27016"/>
    <n v="31792"/>
    <n v="35639"/>
  </r>
  <r>
    <x v="0"/>
    <x v="4"/>
    <n v="663"/>
    <n v="978"/>
    <n v="853"/>
    <n v="641"/>
    <n v="0.49"/>
    <n v="0.52"/>
    <n v="0.55000000000000004"/>
    <n v="46855"/>
    <n v="19570"/>
    <n v="30296"/>
    <n v="17986"/>
    <n v="45100"/>
    <n v="34508"/>
    <n v="23512"/>
    <n v="38027"/>
    <n v="24179"/>
    <n v="30826"/>
  </r>
  <r>
    <x v="0"/>
    <x v="5"/>
    <n v="837"/>
    <n v="603"/>
    <n v="615"/>
    <n v="747"/>
    <n v="0.57999999999999996"/>
    <n v="0.61"/>
    <n v="0.64"/>
    <n v="38944"/>
    <n v="31359"/>
    <n v="18419"/>
    <n v="37526"/>
    <n v="16482"/>
    <n v="37425"/>
    <n v="32174"/>
    <n v="36276"/>
    <n v="31244"/>
    <n v="23972"/>
  </r>
  <r>
    <x v="0"/>
    <x v="6"/>
    <n v="885"/>
    <n v="642"/>
    <n v="671"/>
    <n v="595"/>
    <n v="0.69"/>
    <n v="0.72"/>
    <n v="0.75"/>
    <n v="31753"/>
    <n v="24384"/>
    <n v="25165"/>
    <n v="35949"/>
    <n v="43189"/>
    <n v="36241"/>
    <n v="21483"/>
    <n v="33649"/>
    <n v="22150"/>
    <n v="22879"/>
  </r>
  <r>
    <x v="0"/>
    <x v="7"/>
    <n v="620"/>
    <n v="793"/>
    <n v="835"/>
    <n v="632"/>
    <n v="0.78"/>
    <n v="0.81"/>
    <n v="0.84"/>
    <n v="35253"/>
    <n v="25421"/>
    <n v="12867"/>
    <n v="20194"/>
    <n v="40804"/>
    <n v="32960"/>
    <n v="21769"/>
    <n v="35047"/>
    <n v="21906"/>
    <n v="22740"/>
  </r>
  <r>
    <x v="0"/>
    <x v="8"/>
    <n v="1057"/>
    <n v="776"/>
    <n v="562"/>
    <n v="754"/>
    <n v="0.85"/>
    <n v="0.88"/>
    <n v="0.9"/>
    <n v="41730"/>
    <n v="31924"/>
    <n v="44750"/>
    <n v="25311"/>
    <n v="35368"/>
    <n v="33160"/>
    <n v="37720"/>
    <n v="23911"/>
    <n v="30637"/>
    <n v="25161"/>
  </r>
  <r>
    <x v="0"/>
    <x v="9"/>
    <n v="747"/>
    <n v="933"/>
    <n v="1040"/>
    <n v="745"/>
    <n v="0.89"/>
    <n v="0.91"/>
    <n v="0.92"/>
    <n v="30597"/>
    <n v="22900"/>
    <n v="16954"/>
    <n v="37484"/>
    <n v="34577"/>
    <n v="28645"/>
    <n v="30773"/>
    <n v="31193"/>
    <n v="24474"/>
    <n v="28479"/>
  </r>
  <r>
    <x v="0"/>
    <x v="10"/>
    <n v="768"/>
    <n v="964"/>
    <n v="877"/>
    <n v="657"/>
    <n v="0.93"/>
    <n v="0.94"/>
    <n v="0.94"/>
    <n v="42410"/>
    <n v="40455"/>
    <n v="16442"/>
    <n v="20228"/>
    <n v="36687"/>
    <n v="24648"/>
    <n v="24112"/>
    <n v="28743"/>
    <n v="31366"/>
    <n v="32786"/>
  </r>
  <r>
    <x v="0"/>
    <x v="11"/>
    <n v="750"/>
    <n v="818"/>
    <n v="905"/>
    <n v="953"/>
    <n v="0.95"/>
    <n v="0.95"/>
    <n v="0.95"/>
    <n v="32911"/>
    <n v="46761"/>
    <n v="41179"/>
    <n v="39561"/>
    <n v="46813"/>
    <n v="35905"/>
    <n v="24335"/>
    <n v="26151"/>
    <n v="22569"/>
    <n v="36582"/>
  </r>
  <r>
    <x v="1"/>
    <x v="0"/>
    <n v="887"/>
    <n v="875"/>
    <n v="711"/>
    <n v="747"/>
    <n v="0.09"/>
    <n v="0.11"/>
    <n v="0.06"/>
    <n v="22682"/>
    <n v="34139"/>
    <n v="23254"/>
    <n v="13294"/>
    <n v="29963"/>
    <n v="24303"/>
    <n v="29238"/>
    <n v="32536"/>
    <n v="24830"/>
    <n v="36988"/>
  </r>
  <r>
    <x v="1"/>
    <x v="1"/>
    <n v="892"/>
    <n v="831"/>
    <n v="801"/>
    <n v="663"/>
    <n v="0.16"/>
    <n v="0.19"/>
    <n v="0.13"/>
    <n v="26895"/>
    <n v="24766"/>
    <n v="12746"/>
    <n v="14050"/>
    <n v="38495"/>
    <n v="33954"/>
    <n v="29423"/>
    <n v="36551"/>
    <n v="35267"/>
    <n v="33712"/>
  </r>
  <r>
    <x v="1"/>
    <x v="2"/>
    <n v="802"/>
    <n v="1018"/>
    <n v="647"/>
    <n v="964"/>
    <n v="0.28999999999999998"/>
    <n v="0.32"/>
    <n v="0.26"/>
    <n v="45014"/>
    <n v="26813"/>
    <n v="37641"/>
    <n v="20506"/>
    <n v="16674"/>
    <n v="38097"/>
    <n v="32235"/>
    <n v="24639"/>
    <n v="27318"/>
    <n v="27789"/>
  </r>
  <r>
    <x v="1"/>
    <x v="3"/>
    <n v="1086"/>
    <n v="844"/>
    <n v="945"/>
    <n v="972"/>
    <n v="0.36"/>
    <n v="0.39"/>
    <n v="0.33"/>
    <n v="34808"/>
    <n v="33385"/>
    <n v="28844"/>
    <n v="28829"/>
    <n v="24867"/>
    <n v="36115"/>
    <n v="37888"/>
    <n v="29759"/>
    <n v="31228"/>
    <n v="22394"/>
  </r>
  <r>
    <x v="1"/>
    <x v="4"/>
    <n v="1036"/>
    <n v="1039"/>
    <n v="827"/>
    <n v="947"/>
    <n v="0.5"/>
    <n v="0.53"/>
    <n v="0.45"/>
    <n v="41562"/>
    <n v="16290"/>
    <n v="42489"/>
    <n v="27084"/>
    <n v="16480"/>
    <n v="28833"/>
    <n v="22312"/>
    <n v="25916"/>
    <n v="23868"/>
    <n v="21286"/>
  </r>
  <r>
    <x v="1"/>
    <x v="5"/>
    <n v="737"/>
    <n v="1016"/>
    <n v="911"/>
    <n v="1043"/>
    <n v="0.59"/>
    <n v="0.62"/>
    <n v="0.56999999999999995"/>
    <n v="28922"/>
    <n v="18707"/>
    <n v="13636"/>
    <n v="35765"/>
    <n v="30665"/>
    <n v="37276"/>
    <n v="35827"/>
    <n v="30255"/>
    <n v="33099"/>
    <n v="23609"/>
  </r>
  <r>
    <x v="1"/>
    <x v="6"/>
    <n v="647"/>
    <n v="759"/>
    <n v="833"/>
    <n v="873"/>
    <n v="0.7"/>
    <n v="0.73"/>
    <n v="0.68"/>
    <n v="27195"/>
    <n v="29500"/>
    <n v="42524"/>
    <n v="29898"/>
    <n v="33845"/>
    <n v="26933"/>
    <n v="32713"/>
    <n v="34147"/>
    <n v="23405"/>
    <n v="28897"/>
  </r>
  <r>
    <x v="1"/>
    <x v="7"/>
    <n v="688"/>
    <n v="875"/>
    <n v="951"/>
    <n v="651"/>
    <n v="0.79"/>
    <n v="0.82"/>
    <n v="0.77"/>
    <n v="21420"/>
    <n v="30187"/>
    <n v="44873"/>
    <n v="27914"/>
    <n v="28924"/>
    <n v="27020"/>
    <n v="34060"/>
    <n v="26310"/>
    <n v="29802"/>
    <n v="33156"/>
  </r>
  <r>
    <x v="1"/>
    <x v="8"/>
    <n v="969"/>
    <n v="765"/>
    <n v="870"/>
    <n v="655"/>
    <n v="0.86"/>
    <n v="0.89"/>
    <n v="0.83"/>
    <n v="26802"/>
    <n v="40775"/>
    <n v="37399"/>
    <n v="13590"/>
    <n v="40279"/>
    <n v="30945"/>
    <n v="21705"/>
    <n v="32179"/>
    <n v="24860"/>
    <n v="22096"/>
  </r>
  <r>
    <x v="1"/>
    <x v="9"/>
    <n v="763"/>
    <n v="600"/>
    <n v="1005"/>
    <n v="766"/>
    <n v="0.9"/>
    <n v="0.92"/>
    <n v="0.87"/>
    <n v="32910"/>
    <n v="27602"/>
    <n v="40037"/>
    <n v="32158"/>
    <n v="17057"/>
    <n v="29434"/>
    <n v="24206"/>
    <n v="22492"/>
    <n v="25119"/>
    <n v="36213"/>
  </r>
  <r>
    <x v="1"/>
    <x v="10"/>
    <n v="773"/>
    <n v="857"/>
    <n v="868"/>
    <n v="697"/>
    <n v="0.93"/>
    <n v="0.94"/>
    <n v="0.91"/>
    <n v="34668"/>
    <n v="43111"/>
    <n v="16369"/>
    <n v="35335"/>
    <n v="42733"/>
    <n v="25076"/>
    <n v="33024"/>
    <n v="23869"/>
    <n v="35604"/>
    <n v="34888"/>
  </r>
  <r>
    <x v="1"/>
    <x v="11"/>
    <n v="1054"/>
    <n v="715"/>
    <n v="1096"/>
    <n v="736"/>
    <n v="0.95"/>
    <n v="0.95"/>
    <n v="0.95"/>
    <n v="26270"/>
    <n v="31159"/>
    <n v="18736"/>
    <n v="28694"/>
    <n v="47915"/>
    <n v="35541"/>
    <n v="27527"/>
    <n v="34576"/>
    <n v="37622"/>
    <n v="30683"/>
  </r>
  <r>
    <x v="2"/>
    <x v="0"/>
    <n v="607"/>
    <n v="664"/>
    <n v="829"/>
    <n v="897"/>
    <n v="0.05"/>
    <n v="7.0000000000000007E-2"/>
    <n v="0.1"/>
    <n v="46994"/>
    <n v="21319"/>
    <n v="12990"/>
    <n v="42586"/>
    <n v="32558"/>
    <n v="22640"/>
    <n v="30226"/>
    <n v="25488"/>
    <n v="21944"/>
    <n v="24998"/>
  </r>
  <r>
    <x v="2"/>
    <x v="1"/>
    <n v="865"/>
    <n v="929"/>
    <n v="954"/>
    <n v="815"/>
    <n v="0.14000000000000001"/>
    <n v="0.16"/>
    <n v="0.2"/>
    <n v="39026"/>
    <n v="26722"/>
    <n v="40333"/>
    <n v="30509"/>
    <n v="41433"/>
    <n v="30614"/>
    <n v="37770"/>
    <n v="26212"/>
    <n v="34215"/>
    <n v="22890"/>
  </r>
  <r>
    <x v="2"/>
    <x v="2"/>
    <n v="970"/>
    <n v="801"/>
    <n v="549"/>
    <n v="851"/>
    <n v="0.27"/>
    <n v="0.28999999999999998"/>
    <n v="0.33"/>
    <n v="41512"/>
    <n v="42898"/>
    <n v="30622"/>
    <n v="14771"/>
    <n v="19179"/>
    <n v="35278"/>
    <n v="32525"/>
    <n v="30408"/>
    <n v="31157"/>
    <n v="23892"/>
  </r>
  <r>
    <x v="2"/>
    <x v="3"/>
    <n v="598"/>
    <n v="983"/>
    <n v="733"/>
    <n v="995"/>
    <n v="0.34"/>
    <n v="0.37"/>
    <n v="0.4"/>
    <n v="40143"/>
    <n v="29119"/>
    <n v="38084"/>
    <n v="21801"/>
    <n v="28837"/>
    <n v="33036"/>
    <n v="27832"/>
    <n v="31177"/>
    <n v="22446"/>
    <n v="27687"/>
  </r>
  <r>
    <x v="2"/>
    <x v="4"/>
    <n v="1068"/>
    <n v="760"/>
    <n v="573"/>
    <n v="670"/>
    <n v="0.48"/>
    <n v="0.51"/>
    <n v="0.54"/>
    <n v="19402"/>
    <n v="25448"/>
    <n v="26037"/>
    <n v="41488"/>
    <n v="16490"/>
    <n v="32155"/>
    <n v="24688"/>
    <n v="21686"/>
    <n v="27311"/>
    <n v="31055"/>
  </r>
  <r>
    <x v="2"/>
    <x v="5"/>
    <n v="804"/>
    <n v="635"/>
    <n v="715"/>
    <n v="590"/>
    <n v="0.56999999999999995"/>
    <n v="0.6"/>
    <n v="0.63"/>
    <n v="24530"/>
    <n v="24288"/>
    <n v="41736"/>
    <n v="35097"/>
    <n v="47865"/>
    <n v="28030"/>
    <n v="21503"/>
    <n v="24869"/>
    <n v="32877"/>
    <n v="33387"/>
  </r>
  <r>
    <x v="2"/>
    <x v="6"/>
    <n v="652"/>
    <n v="602"/>
    <n v="885"/>
    <n v="600"/>
    <n v="0.68"/>
    <n v="0.71"/>
    <n v="0.74"/>
    <n v="30449"/>
    <n v="38234"/>
    <n v="32581"/>
    <n v="35796"/>
    <n v="43508"/>
    <n v="24653"/>
    <n v="22626"/>
    <n v="30513"/>
    <n v="36461"/>
    <n v="32248"/>
  </r>
  <r>
    <x v="2"/>
    <x v="7"/>
    <n v="826"/>
    <n v="680"/>
    <n v="1027"/>
    <n v="720"/>
    <n v="0.48"/>
    <n v="0.8"/>
    <n v="0.83"/>
    <n v="35455"/>
    <n v="37801"/>
    <n v="19878"/>
    <n v="33982"/>
    <n v="46627"/>
    <n v="22793"/>
    <n v="27717"/>
    <n v="34500"/>
    <n v="35696"/>
    <n v="29072"/>
  </r>
  <r>
    <x v="2"/>
    <x v="8"/>
    <n v="932"/>
    <n v="835"/>
    <n v="1097"/>
    <n v="775"/>
    <n v="0.56999999999999995"/>
    <n v="0.87"/>
    <n v="0.89"/>
    <n v="37333"/>
    <n v="17426"/>
    <n v="31802"/>
    <n v="21211"/>
    <n v="37649"/>
    <n v="24418"/>
    <n v="33610"/>
    <n v="35721"/>
    <n v="31222"/>
    <n v="25283"/>
  </r>
  <r>
    <x v="2"/>
    <x v="9"/>
    <n v="1097"/>
    <n v="925"/>
    <n v="1073"/>
    <n v="695"/>
    <n v="0.68"/>
    <n v="0.9"/>
    <n v="0.91"/>
    <n v="34335"/>
    <n v="18562"/>
    <n v="12775"/>
    <n v="21995"/>
    <n v="18192"/>
    <n v="28507"/>
    <n v="36877"/>
    <n v="32385"/>
    <n v="24619"/>
    <n v="21914"/>
  </r>
  <r>
    <x v="2"/>
    <x v="10"/>
    <n v="1027"/>
    <n v="875"/>
    <n v="962"/>
    <n v="635"/>
    <n v="0.77"/>
    <n v="0.93"/>
    <n v="0.93"/>
    <n v="28633"/>
    <n v="47047"/>
    <n v="42194"/>
    <n v="32135"/>
    <n v="45258"/>
    <n v="32778"/>
    <n v="35477"/>
    <n v="26766"/>
    <n v="21422"/>
    <n v="22357"/>
  </r>
  <r>
    <x v="2"/>
    <x v="11"/>
    <n v="800"/>
    <n v="765"/>
    <n v="800"/>
    <n v="680"/>
    <n v="0.84"/>
    <n v="0.95"/>
    <n v="0.95"/>
    <n v="23527"/>
    <n v="37812"/>
    <n v="26451"/>
    <n v="28552"/>
    <n v="33891"/>
    <n v="35415"/>
    <n v="29680"/>
    <n v="22190"/>
    <n v="22100"/>
    <n v="26385"/>
  </r>
  <r>
    <x v="3"/>
    <x v="0"/>
    <n v="612"/>
    <n v="520"/>
    <n v="907"/>
    <n v="740"/>
    <n v="0.88"/>
    <n v="0.13"/>
    <n v="0.08"/>
    <n v="21331"/>
    <n v="16090"/>
    <n v="18423"/>
    <n v="23684"/>
    <n v="27835"/>
    <n v="33169"/>
    <n v="23348"/>
    <n v="24244"/>
    <n v="26367"/>
    <n v="30946"/>
  </r>
  <r>
    <x v="3"/>
    <x v="1"/>
    <n v="815"/>
    <n v="670"/>
    <n v="770"/>
    <n v="850"/>
    <n v="0.92"/>
    <n v="0.2"/>
    <n v="0.15"/>
    <n v="23085"/>
    <n v="26104"/>
    <n v="27996"/>
    <n v="32295"/>
    <n v="26630"/>
    <n v="27990"/>
    <n v="21398"/>
    <n v="28661"/>
    <n v="31747"/>
    <n v="32722"/>
  </r>
  <r>
    <x v="3"/>
    <x v="2"/>
    <n v="851"/>
    <n v="850"/>
    <n v="1056"/>
    <n v="898"/>
    <n v="0.95"/>
    <n v="0.33"/>
    <n v="0.28000000000000003"/>
    <n v="26987"/>
    <n v="27215"/>
    <n v="28702"/>
    <n v="24780"/>
    <n v="27043"/>
    <n v="23489"/>
    <n v="24373"/>
    <n v="33111"/>
    <n v="35304"/>
    <n v="30719"/>
  </r>
  <r>
    <x v="3"/>
    <x v="3"/>
    <n v="755"/>
    <n v="1030"/>
    <n v="1110"/>
    <n v="809"/>
    <n v="0.1"/>
    <n v="0.4"/>
    <n v="0.35"/>
    <n v="30892"/>
    <n v="29892"/>
    <n v="24136"/>
    <n v="36433"/>
    <n v="26274"/>
    <n v="22158"/>
    <n v="28834"/>
    <n v="35699"/>
    <n v="33533"/>
    <n v="26324"/>
  </r>
  <r>
    <x v="3"/>
    <x v="4"/>
    <n v="589"/>
    <n v="1075"/>
    <n v="967"/>
    <n v="657"/>
    <n v="0.17"/>
    <n v="0.54"/>
    <n v="0.47"/>
    <n v="32641"/>
    <n v="36940"/>
    <n v="37122"/>
    <n v="29889"/>
    <n v="40361"/>
    <n v="23974"/>
    <n v="32344"/>
    <n v="34488"/>
    <n v="28896"/>
    <n v="22815"/>
  </r>
  <r>
    <x v="3"/>
    <x v="5"/>
    <n v="470"/>
    <n v="980"/>
    <n v="522"/>
    <n v="580"/>
    <n v="0.3"/>
    <n v="0.63"/>
    <n v="0.59"/>
    <n v="30850"/>
    <n v="34388"/>
    <n v="34652"/>
    <n v="44085"/>
    <n v="35464"/>
    <n v="27543"/>
    <n v="34696"/>
    <n v="30657"/>
    <n v="24100"/>
    <n v="21362"/>
  </r>
  <r>
    <x v="3"/>
    <x v="6"/>
    <n v="545"/>
    <n v="810"/>
    <n v="448"/>
    <n v="614"/>
    <n v="0.37"/>
    <n v="0.74"/>
    <n v="0.7"/>
    <n v="25985"/>
    <n v="23203"/>
    <n v="42870"/>
    <n v="15941"/>
    <n v="43634"/>
    <n v="31457"/>
    <n v="33218"/>
    <n v="25576"/>
    <n v="21308"/>
    <n v="22980"/>
  </r>
  <r>
    <x v="3"/>
    <x v="7"/>
    <n v="990"/>
    <n v="640"/>
    <n v="571"/>
    <n v="735"/>
    <n v="0.51"/>
    <n v="0.83"/>
    <n v="0.79"/>
    <n v="20453"/>
    <n v="29364"/>
    <n v="23492"/>
    <n v="42450"/>
    <n v="44096"/>
    <n v="33817"/>
    <n v="28466"/>
    <n v="22201"/>
    <n v="23555"/>
    <n v="27290"/>
  </r>
  <r>
    <x v="3"/>
    <x v="8"/>
    <n v="1135"/>
    <n v="500"/>
    <n v="732"/>
    <n v="786"/>
    <n v="0.6"/>
    <n v="0.9"/>
    <n v="0.85"/>
    <n v="17731"/>
    <n v="17598"/>
    <n v="19320"/>
    <n v="42808"/>
    <n v="30991"/>
    <n v="32712"/>
    <n v="24409"/>
    <n v="22638"/>
    <n v="28589"/>
    <n v="30948"/>
  </r>
  <r>
    <x v="3"/>
    <x v="9"/>
    <n v="1080"/>
    <n v="620"/>
    <n v="843"/>
    <n v="687"/>
    <n v="0.71"/>
    <n v="0.93"/>
    <n v="0.88"/>
    <n v="19530"/>
    <n v="25494"/>
    <n v="12112"/>
    <n v="30735"/>
    <n v="25132"/>
    <n v="29042"/>
    <n v="22690"/>
    <n v="26811"/>
    <n v="33279"/>
    <n v="31363"/>
  </r>
  <r>
    <x v="3"/>
    <x v="10"/>
    <n v="955"/>
    <n v="800"/>
    <n v="811"/>
    <n v="626"/>
    <n v="0.8"/>
    <n v="0.94"/>
    <n v="0.92"/>
    <n v="24764"/>
    <n v="40644"/>
    <n v="16320"/>
    <n v="25765"/>
    <n v="25654"/>
    <n v="25116"/>
    <n v="24833"/>
    <n v="31993"/>
    <n v="35147"/>
    <n v="28493"/>
  </r>
  <r>
    <x v="3"/>
    <x v="11"/>
    <n v="930"/>
    <n v="950"/>
    <n v="590"/>
    <n v="675"/>
    <n v="0.87"/>
    <n v="0.95"/>
    <n v="0.95"/>
    <n v="30878"/>
    <n v="34100"/>
    <n v="36333"/>
    <n v="34094"/>
    <n v="37559"/>
    <n v="23325"/>
    <n v="29676"/>
    <n v="35309"/>
    <n v="33641"/>
    <n v="24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P15" firstHeaderRow="0" firstDataRow="1" firstDataCol="1"/>
  <pivotFields count="19">
    <pivotField showAll="0">
      <items count="5">
        <item x="0"/>
        <item h="1" x="1"/>
        <item h="1"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showAll="0"/>
    <pivotField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Active Client Count" fld="2" baseField="0" baseItem="0"/>
    <dataField name="Sum of Average Client Count" fld="3" baseField="0" baseItem="0"/>
    <dataField name="Average of Customer" fld="6" subtotal="average" baseField="1" baseItem="0"/>
    <dataField name="Average of Relationship" fld="7" subtotal="average" baseField="1" baseItem="0"/>
    <dataField name="Average of Management" fld="8" subtotal="average" baseField="1" baseItem="0"/>
    <dataField name="Sum of K Point 1" fld="9" baseField="0" baseItem="0"/>
    <dataField name="Sum of K Point 2" fld="10" baseField="0" baseItem="0"/>
    <dataField name="Sum of K Point 3" fld="11" baseField="0" baseItem="0"/>
    <dataField name="Sum of K Point 4" fld="12" baseField="0" baseItem="0"/>
    <dataField name="Sum of K Point 5" fld="13" baseField="0" baseItem="0"/>
    <dataField name="Sum of C Point 1" fld="14" baseField="0" baseItem="0" numFmtId="164"/>
    <dataField name="Sum of C Point 2" fld="15" baseField="0" baseItem="0" numFmtId="164"/>
    <dataField name="Sum of C Point 3" fld="16" baseField="0" baseItem="0" numFmtId="164"/>
    <dataField name="Sum of C Point 4" fld="17" baseField="0" baseItem="0" numFmtId="164"/>
    <dataField name="Sum of C Point 5" fld="18" baseField="0" baseItem="0" numFmtId="164"/>
  </dataFields>
  <formats count="8">
    <format dxfId="34">
      <pivotArea collapsedLevelsAreSubtotals="1" fieldPosition="0">
        <references count="2">
          <reference field="4294967294" count="1" selected="0">
            <x v="2"/>
          </reference>
          <reference field="1" count="0"/>
        </references>
      </pivotArea>
    </format>
    <format dxfId="33">
      <pivotArea collapsedLevelsAreSubtotals="1" fieldPosition="0">
        <references count="2">
          <reference field="4294967294" count="3" selected="0">
            <x v="2"/>
            <x v="3"/>
            <x v="4"/>
          </reference>
          <reference field="1" count="0"/>
        </references>
      </pivotArea>
    </format>
    <format dxfId="32">
      <pivotArea field="1" grandRow="1" outline="0" collapsedLevelsAreSubtotals="1" axis="axisRow" fieldPosition="0">
        <references count="1">
          <reference field="4294967294" count="3" selected="0">
            <x v="2"/>
            <x v="3"/>
            <x v="4"/>
          </reference>
        </references>
      </pivotArea>
    </format>
    <format dxfId="31">
      <pivotArea outline="0" collapsedLevelsAreSubtotals="1" fieldPosition="0">
        <references count="1">
          <reference field="4294967294" count="5" selected="0">
            <x v="10"/>
            <x v="11"/>
            <x v="12"/>
            <x v="13"/>
            <x v="14"/>
          </reference>
        </references>
      </pivotArea>
    </format>
    <format dxfId="30">
      <pivotArea outline="0" collapsedLevelsAreSubtotals="1" fieldPosition="0">
        <references count="1">
          <reference field="4294967294" count="5" selected="0">
            <x v="10"/>
            <x v="11"/>
            <x v="12"/>
            <x v="13"/>
            <x v="14"/>
          </reference>
        </references>
      </pivotArea>
    </format>
    <format dxfId="29">
      <pivotArea outline="0" collapsedLevelsAreSubtotals="1" fieldPosition="0">
        <references count="1">
          <reference field="4294967294" count="5" selected="0">
            <x v="10"/>
            <x v="11"/>
            <x v="12"/>
            <x v="13"/>
            <x v="14"/>
          </reference>
        </references>
      </pivotArea>
    </format>
    <format dxfId="28">
      <pivotArea outline="0" collapsedLevelsAreSubtotals="1" fieldPosition="0">
        <references count="1">
          <reference field="4294967294" count="5" selected="0">
            <x v="10"/>
            <x v="11"/>
            <x v="12"/>
            <x v="13"/>
            <x v="14"/>
          </reference>
        </references>
      </pivotArea>
    </format>
    <format dxfId="27">
      <pivotArea outline="0" collapsedLevelsAreSubtotals="1" fieldPosition="0">
        <references count="1">
          <reference field="4294967294" count="5" selected="0">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location ref="A17:E30" firstHeaderRow="0" firstDataRow="1" firstDataCol="1"/>
  <pivotFields count="19">
    <pivotField showAll="0">
      <items count="5">
        <item x="0"/>
        <item h="1" x="1"/>
        <item h="1" x="2"/>
        <item h="1"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Active Client Count" fld="2" baseField="0" baseItem="0"/>
    <dataField name="Sum of Average Client Count" fld="3" baseField="0" baseItem="0"/>
    <dataField name="Sum of New Clients" fld="4" baseField="0" baseItem="0"/>
    <dataField name="Sum of Regular Clien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
    <pivotTable tabId="4" name="PivotTable2"/>
  </pivotTables>
  <data>
    <tabular pivotCacheId="1">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1"/>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4" showCaption="0" style="SlicerStyleLight1 2 2" rowHeight="241300"/>
  <slicer name="Month" cache="Slicer_Month" caption="Month" columnCount="12" showCaption="0"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4" showCaption="0" style="SlicerStyleLight1 2 2" rowHeight="241300"/>
  <slicer name="Month 1" cache="Slicer_Month" caption="Month" columnCount="12" showCaption="0"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 2" cache="Slicer_Year" caption="Year" columnCount="4" showCaption="0" style="SlicerStyleLight1 2 3 2" rowHeight="241300"/>
  <slicer name="Month 2" cache="Slicer_Month" caption="Month" columnCount="12" showCaption="0" style="SlicerStyleLight1 2 3"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Year 3" cache="Slicer_Year" caption="Year" columnCount="4" showCaption="0" style="SlicerStyleLight1 2 3 2" rowHeight="241300"/>
  <slicer name="Month 3" cache="Slicer_Month" caption="Month" columnCount="12" showCaption="0" style="SlicerStyleLight1 2 3" rowHeight="241300"/>
</slicers>
</file>

<file path=xl/tables/table1.xml><?xml version="1.0" encoding="utf-8"?>
<table xmlns="http://schemas.openxmlformats.org/spreadsheetml/2006/main" id="1" name="Exceldata" displayName="Exceldata" ref="A2:S50" totalsRowShown="0">
  <autoFilter ref="A2:S50"/>
  <tableColumns count="19">
    <tableColumn id="1" name="Year"/>
    <tableColumn id="2" name="Month"/>
    <tableColumn id="3" name="Active Client Count"/>
    <tableColumn id="4" name="Average Client Count"/>
    <tableColumn id="5" name="New Clients"/>
    <tableColumn id="6" name="Regular Clients"/>
    <tableColumn id="7" name="Customer" dataDxfId="26"/>
    <tableColumn id="8" name="Relationship" dataDxfId="25"/>
    <tableColumn id="9" name="Management" dataDxfId="24"/>
    <tableColumn id="10" name="K Point 1"/>
    <tableColumn id="11" name="K Point 2"/>
    <tableColumn id="12" name="K Point 3"/>
    <tableColumn id="13" name="K Point 4"/>
    <tableColumn id="14" name="K Point 5"/>
    <tableColumn id="15" name="C Point 1" dataCellStyle="Currency"/>
    <tableColumn id="16" name="C Point 2" dataCellStyle="Currency"/>
    <tableColumn id="17" name="C Point 3" dataCellStyle="Currency"/>
    <tableColumn id="18" name="C Point 4" dataCellStyle="Currency"/>
    <tableColumn id="19" name="C Point 5"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30"/>
  <sheetViews>
    <sheetView workbookViewId="0">
      <selection activeCell="L3" sqref="L3:P4"/>
    </sheetView>
  </sheetViews>
  <sheetFormatPr defaultRowHeight="15" x14ac:dyDescent="0.25"/>
  <cols>
    <col min="1" max="1" width="13.140625" customWidth="1"/>
    <col min="2" max="2" width="25" bestFit="1" customWidth="1"/>
    <col min="3" max="3" width="26.85546875" bestFit="1" customWidth="1"/>
    <col min="4" max="4" width="19.85546875" customWidth="1"/>
    <col min="5" max="5" width="22.5703125" customWidth="1"/>
    <col min="6" max="6" width="23.28515625" bestFit="1" customWidth="1"/>
    <col min="7" max="16" width="15.42578125" bestFit="1" customWidth="1"/>
  </cols>
  <sheetData>
    <row r="2" spans="1:16" x14ac:dyDescent="0.25">
      <c r="A2" s="5" t="s">
        <v>33</v>
      </c>
      <c r="B2" t="s">
        <v>32</v>
      </c>
      <c r="C2" t="s">
        <v>35</v>
      </c>
      <c r="D2" t="s">
        <v>47</v>
      </c>
      <c r="E2" t="s">
        <v>48</v>
      </c>
      <c r="F2" t="s">
        <v>49</v>
      </c>
      <c r="G2" t="s">
        <v>59</v>
      </c>
      <c r="H2" t="s">
        <v>60</v>
      </c>
      <c r="I2" t="s">
        <v>61</v>
      </c>
      <c r="J2" t="s">
        <v>62</v>
      </c>
      <c r="K2" t="s">
        <v>63</v>
      </c>
      <c r="L2" t="s">
        <v>64</v>
      </c>
      <c r="M2" t="s">
        <v>65</v>
      </c>
      <c r="N2" t="s">
        <v>66</v>
      </c>
      <c r="O2" t="s">
        <v>67</v>
      </c>
      <c r="P2" t="s">
        <v>68</v>
      </c>
    </row>
    <row r="3" spans="1:16" x14ac:dyDescent="0.25">
      <c r="A3" s="6" t="s">
        <v>19</v>
      </c>
      <c r="B3" s="4">
        <v>694</v>
      </c>
      <c r="C3" s="4">
        <v>792</v>
      </c>
      <c r="D3" s="1">
        <v>0.06</v>
      </c>
      <c r="E3" s="1">
        <v>0.08</v>
      </c>
      <c r="F3" s="1">
        <v>7.0000000000000007E-2</v>
      </c>
      <c r="G3" s="4">
        <v>32852</v>
      </c>
      <c r="H3" s="4">
        <v>41621</v>
      </c>
      <c r="I3" s="4">
        <v>13294</v>
      </c>
      <c r="J3" s="4">
        <v>33787</v>
      </c>
      <c r="K3" s="4">
        <v>27584</v>
      </c>
      <c r="L3" s="14">
        <v>30225</v>
      </c>
      <c r="M3" s="14">
        <v>30947</v>
      </c>
      <c r="N3" s="14">
        <v>28551</v>
      </c>
      <c r="O3" s="14">
        <v>28039</v>
      </c>
      <c r="P3" s="14">
        <v>39202</v>
      </c>
    </row>
    <row r="4" spans="1:16" x14ac:dyDescent="0.25">
      <c r="A4" s="6" t="s">
        <v>20</v>
      </c>
      <c r="B4" s="4">
        <v>1085</v>
      </c>
      <c r="C4" s="4">
        <v>753</v>
      </c>
      <c r="D4" s="1">
        <v>0.15</v>
      </c>
      <c r="E4" s="1">
        <v>0.12</v>
      </c>
      <c r="F4" s="1">
        <v>0.18</v>
      </c>
      <c r="G4" s="4">
        <v>36228</v>
      </c>
      <c r="H4" s="4">
        <v>31001</v>
      </c>
      <c r="I4" s="4">
        <v>24043</v>
      </c>
      <c r="J4" s="4">
        <v>24387</v>
      </c>
      <c r="K4" s="4">
        <v>32505</v>
      </c>
      <c r="L4" s="14">
        <v>24108</v>
      </c>
      <c r="M4" s="14">
        <v>37255</v>
      </c>
      <c r="N4" s="14">
        <v>29321</v>
      </c>
      <c r="O4" s="14">
        <v>35250</v>
      </c>
      <c r="P4" s="14">
        <v>34380</v>
      </c>
    </row>
    <row r="5" spans="1:16" x14ac:dyDescent="0.25">
      <c r="A5" s="6" t="s">
        <v>21</v>
      </c>
      <c r="B5" s="4">
        <v>1034</v>
      </c>
      <c r="C5" s="4">
        <v>712</v>
      </c>
      <c r="D5" s="1">
        <v>0.28000000000000003</v>
      </c>
      <c r="E5" s="1">
        <v>0.25</v>
      </c>
      <c r="F5" s="1">
        <v>0.3</v>
      </c>
      <c r="G5" s="4">
        <v>24285</v>
      </c>
      <c r="H5" s="4">
        <v>37660</v>
      </c>
      <c r="I5" s="4">
        <v>13281</v>
      </c>
      <c r="J5" s="4">
        <v>21174</v>
      </c>
      <c r="K5" s="4">
        <v>43842</v>
      </c>
      <c r="L5" s="14">
        <v>28764</v>
      </c>
      <c r="M5" s="14">
        <v>21427</v>
      </c>
      <c r="N5" s="14">
        <v>35626</v>
      </c>
      <c r="O5" s="14">
        <v>33686</v>
      </c>
      <c r="P5" s="14">
        <v>34006</v>
      </c>
    </row>
    <row r="6" spans="1:16" x14ac:dyDescent="0.25">
      <c r="A6" s="6" t="s">
        <v>22</v>
      </c>
      <c r="B6" s="4">
        <v>812</v>
      </c>
      <c r="C6" s="4">
        <v>849</v>
      </c>
      <c r="D6" s="1">
        <v>0.35</v>
      </c>
      <c r="E6" s="1">
        <v>0.38</v>
      </c>
      <c r="F6" s="1">
        <v>0.41</v>
      </c>
      <c r="G6" s="4">
        <v>28616</v>
      </c>
      <c r="H6" s="4">
        <v>25709</v>
      </c>
      <c r="I6" s="4">
        <v>25612</v>
      </c>
      <c r="J6" s="4">
        <v>14662</v>
      </c>
      <c r="K6" s="4">
        <v>19725</v>
      </c>
      <c r="L6" s="14">
        <v>33790</v>
      </c>
      <c r="M6" s="14">
        <v>32505</v>
      </c>
      <c r="N6" s="14">
        <v>27016</v>
      </c>
      <c r="O6" s="14">
        <v>31792</v>
      </c>
      <c r="P6" s="14">
        <v>35639</v>
      </c>
    </row>
    <row r="7" spans="1:16" x14ac:dyDescent="0.25">
      <c r="A7" s="6" t="s">
        <v>23</v>
      </c>
      <c r="B7" s="4">
        <v>663</v>
      </c>
      <c r="C7" s="4">
        <v>978</v>
      </c>
      <c r="D7" s="1">
        <v>0.49</v>
      </c>
      <c r="E7" s="1">
        <v>0.52</v>
      </c>
      <c r="F7" s="1">
        <v>0.55000000000000004</v>
      </c>
      <c r="G7" s="4">
        <v>46855</v>
      </c>
      <c r="H7" s="4">
        <v>19570</v>
      </c>
      <c r="I7" s="4">
        <v>30296</v>
      </c>
      <c r="J7" s="4">
        <v>17986</v>
      </c>
      <c r="K7" s="4">
        <v>45100</v>
      </c>
      <c r="L7" s="14">
        <v>34508</v>
      </c>
      <c r="M7" s="14">
        <v>23512</v>
      </c>
      <c r="N7" s="14">
        <v>38027</v>
      </c>
      <c r="O7" s="14">
        <v>24179</v>
      </c>
      <c r="P7" s="14">
        <v>30826</v>
      </c>
    </row>
    <row r="8" spans="1:16" x14ac:dyDescent="0.25">
      <c r="A8" s="6" t="s">
        <v>24</v>
      </c>
      <c r="B8" s="4">
        <v>837</v>
      </c>
      <c r="C8" s="4">
        <v>603</v>
      </c>
      <c r="D8" s="1">
        <v>0.57999999999999996</v>
      </c>
      <c r="E8" s="1">
        <v>0.61</v>
      </c>
      <c r="F8" s="1">
        <v>0.64</v>
      </c>
      <c r="G8" s="4">
        <v>38944</v>
      </c>
      <c r="H8" s="4">
        <v>31359</v>
      </c>
      <c r="I8" s="4">
        <v>18419</v>
      </c>
      <c r="J8" s="4">
        <v>37526</v>
      </c>
      <c r="K8" s="4">
        <v>16482</v>
      </c>
      <c r="L8" s="14">
        <v>37425</v>
      </c>
      <c r="M8" s="14">
        <v>32174</v>
      </c>
      <c r="N8" s="14">
        <v>36276</v>
      </c>
      <c r="O8" s="14">
        <v>31244</v>
      </c>
      <c r="P8" s="14">
        <v>23972</v>
      </c>
    </row>
    <row r="9" spans="1:16" x14ac:dyDescent="0.25">
      <c r="A9" s="6" t="s">
        <v>25</v>
      </c>
      <c r="B9" s="4">
        <v>885</v>
      </c>
      <c r="C9" s="4">
        <v>642</v>
      </c>
      <c r="D9" s="1">
        <v>0.69</v>
      </c>
      <c r="E9" s="1">
        <v>0.72</v>
      </c>
      <c r="F9" s="1">
        <v>0.75</v>
      </c>
      <c r="G9" s="4">
        <v>31753</v>
      </c>
      <c r="H9" s="4">
        <v>24384</v>
      </c>
      <c r="I9" s="4">
        <v>25165</v>
      </c>
      <c r="J9" s="4">
        <v>35949</v>
      </c>
      <c r="K9" s="4">
        <v>43189</v>
      </c>
      <c r="L9" s="14">
        <v>36241</v>
      </c>
      <c r="M9" s="14">
        <v>21483</v>
      </c>
      <c r="N9" s="14">
        <v>33649</v>
      </c>
      <c r="O9" s="14">
        <v>22150</v>
      </c>
      <c r="P9" s="14">
        <v>22879</v>
      </c>
    </row>
    <row r="10" spans="1:16" x14ac:dyDescent="0.25">
      <c r="A10" s="6" t="s">
        <v>26</v>
      </c>
      <c r="B10" s="4">
        <v>620</v>
      </c>
      <c r="C10" s="4">
        <v>793</v>
      </c>
      <c r="D10" s="1">
        <v>0.78</v>
      </c>
      <c r="E10" s="1">
        <v>0.81</v>
      </c>
      <c r="F10" s="1">
        <v>0.84</v>
      </c>
      <c r="G10" s="4">
        <v>35253</v>
      </c>
      <c r="H10" s="4">
        <v>25421</v>
      </c>
      <c r="I10" s="4">
        <v>12867</v>
      </c>
      <c r="J10" s="4">
        <v>20194</v>
      </c>
      <c r="K10" s="4">
        <v>40804</v>
      </c>
      <c r="L10" s="14">
        <v>32960</v>
      </c>
      <c r="M10" s="14">
        <v>21769</v>
      </c>
      <c r="N10" s="14">
        <v>35047</v>
      </c>
      <c r="O10" s="14">
        <v>21906</v>
      </c>
      <c r="P10" s="14">
        <v>22740</v>
      </c>
    </row>
    <row r="11" spans="1:16" x14ac:dyDescent="0.25">
      <c r="A11" s="6" t="s">
        <v>27</v>
      </c>
      <c r="B11" s="4">
        <v>1057</v>
      </c>
      <c r="C11" s="4">
        <v>776</v>
      </c>
      <c r="D11" s="1">
        <v>0.85</v>
      </c>
      <c r="E11" s="1">
        <v>0.88</v>
      </c>
      <c r="F11" s="1">
        <v>0.9</v>
      </c>
      <c r="G11" s="4">
        <v>41730</v>
      </c>
      <c r="H11" s="4">
        <v>31924</v>
      </c>
      <c r="I11" s="4">
        <v>44750</v>
      </c>
      <c r="J11" s="4">
        <v>25311</v>
      </c>
      <c r="K11" s="4">
        <v>35368</v>
      </c>
      <c r="L11" s="14">
        <v>33160</v>
      </c>
      <c r="M11" s="14">
        <v>37720</v>
      </c>
      <c r="N11" s="14">
        <v>23911</v>
      </c>
      <c r="O11" s="14">
        <v>30637</v>
      </c>
      <c r="P11" s="14">
        <v>25161</v>
      </c>
    </row>
    <row r="12" spans="1:16" x14ac:dyDescent="0.25">
      <c r="A12" s="6" t="s">
        <v>28</v>
      </c>
      <c r="B12" s="4">
        <v>747</v>
      </c>
      <c r="C12" s="4">
        <v>933</v>
      </c>
      <c r="D12" s="1">
        <v>0.89</v>
      </c>
      <c r="E12" s="1">
        <v>0.91</v>
      </c>
      <c r="F12" s="1">
        <v>0.92</v>
      </c>
      <c r="G12" s="4">
        <v>30597</v>
      </c>
      <c r="H12" s="4">
        <v>22900</v>
      </c>
      <c r="I12" s="4">
        <v>16954</v>
      </c>
      <c r="J12" s="4">
        <v>37484</v>
      </c>
      <c r="K12" s="4">
        <v>34577</v>
      </c>
      <c r="L12" s="14">
        <v>28645</v>
      </c>
      <c r="M12" s="14">
        <v>30773</v>
      </c>
      <c r="N12" s="14">
        <v>31193</v>
      </c>
      <c r="O12" s="14">
        <v>24474</v>
      </c>
      <c r="P12" s="14">
        <v>28479</v>
      </c>
    </row>
    <row r="13" spans="1:16" x14ac:dyDescent="0.25">
      <c r="A13" s="6" t="s">
        <v>29</v>
      </c>
      <c r="B13" s="4">
        <v>768</v>
      </c>
      <c r="C13" s="4">
        <v>964</v>
      </c>
      <c r="D13" s="1">
        <v>0.93</v>
      </c>
      <c r="E13" s="1">
        <v>0.94</v>
      </c>
      <c r="F13" s="1">
        <v>0.94</v>
      </c>
      <c r="G13" s="4">
        <v>42410</v>
      </c>
      <c r="H13" s="4">
        <v>40455</v>
      </c>
      <c r="I13" s="4">
        <v>16442</v>
      </c>
      <c r="J13" s="4">
        <v>20228</v>
      </c>
      <c r="K13" s="4">
        <v>36687</v>
      </c>
      <c r="L13" s="14">
        <v>24648</v>
      </c>
      <c r="M13" s="14">
        <v>24112</v>
      </c>
      <c r="N13" s="14">
        <v>28743</v>
      </c>
      <c r="O13" s="14">
        <v>31366</v>
      </c>
      <c r="P13" s="14">
        <v>32786</v>
      </c>
    </row>
    <row r="14" spans="1:16" x14ac:dyDescent="0.25">
      <c r="A14" s="6" t="s">
        <v>30</v>
      </c>
      <c r="B14" s="4">
        <v>750</v>
      </c>
      <c r="C14" s="4">
        <v>818</v>
      </c>
      <c r="D14" s="1">
        <v>0.95</v>
      </c>
      <c r="E14" s="1">
        <v>0.95</v>
      </c>
      <c r="F14" s="1">
        <v>0.95</v>
      </c>
      <c r="G14" s="4">
        <v>32911</v>
      </c>
      <c r="H14" s="4">
        <v>46761</v>
      </c>
      <c r="I14" s="4">
        <v>41179</v>
      </c>
      <c r="J14" s="4">
        <v>39561</v>
      </c>
      <c r="K14" s="4">
        <v>46813</v>
      </c>
      <c r="L14" s="14">
        <v>35905</v>
      </c>
      <c r="M14" s="14">
        <v>24335</v>
      </c>
      <c r="N14" s="14">
        <v>26151</v>
      </c>
      <c r="O14" s="14">
        <v>22569</v>
      </c>
      <c r="P14" s="14">
        <v>36582</v>
      </c>
    </row>
    <row r="15" spans="1:16" x14ac:dyDescent="0.25">
      <c r="A15" s="6" t="s">
        <v>34</v>
      </c>
      <c r="B15" s="4">
        <v>9952</v>
      </c>
      <c r="C15" s="4">
        <v>9613</v>
      </c>
      <c r="D15" s="1">
        <v>0.58333333333333326</v>
      </c>
      <c r="E15" s="1">
        <v>0.59750000000000003</v>
      </c>
      <c r="F15" s="1">
        <v>0.62083333333333335</v>
      </c>
      <c r="G15" s="4">
        <v>422434</v>
      </c>
      <c r="H15" s="4">
        <v>378765</v>
      </c>
      <c r="I15" s="4">
        <v>282302</v>
      </c>
      <c r="J15" s="4">
        <v>328249</v>
      </c>
      <c r="K15" s="4">
        <v>422676</v>
      </c>
      <c r="L15" s="14">
        <v>380379</v>
      </c>
      <c r="M15" s="14">
        <v>338012</v>
      </c>
      <c r="N15" s="14">
        <v>373511</v>
      </c>
      <c r="O15" s="14">
        <v>337292</v>
      </c>
      <c r="P15" s="14">
        <v>366652</v>
      </c>
    </row>
    <row r="17" spans="1:5" x14ac:dyDescent="0.25">
      <c r="A17" s="5" t="s">
        <v>36</v>
      </c>
      <c r="B17" t="s">
        <v>32</v>
      </c>
      <c r="C17" t="s">
        <v>35</v>
      </c>
      <c r="D17" t="s">
        <v>41</v>
      </c>
      <c r="E17" t="s">
        <v>42</v>
      </c>
    </row>
    <row r="18" spans="1:5" x14ac:dyDescent="0.25">
      <c r="A18" s="6" t="s">
        <v>19</v>
      </c>
      <c r="B18" s="4">
        <v>694</v>
      </c>
      <c r="C18" s="4">
        <v>792</v>
      </c>
      <c r="D18" s="4">
        <v>654</v>
      </c>
      <c r="E18" s="4">
        <v>937</v>
      </c>
    </row>
    <row r="19" spans="1:5" x14ac:dyDescent="0.25">
      <c r="A19" s="6" t="s">
        <v>20</v>
      </c>
      <c r="B19" s="4">
        <v>1085</v>
      </c>
      <c r="C19" s="4">
        <v>753</v>
      </c>
      <c r="D19" s="4">
        <v>756</v>
      </c>
      <c r="E19" s="4">
        <v>657</v>
      </c>
    </row>
    <row r="20" spans="1:5" x14ac:dyDescent="0.25">
      <c r="A20" s="6" t="s">
        <v>21</v>
      </c>
      <c r="B20" s="4">
        <v>1034</v>
      </c>
      <c r="C20" s="4">
        <v>712</v>
      </c>
      <c r="D20" s="4">
        <v>885</v>
      </c>
      <c r="E20" s="4">
        <v>861</v>
      </c>
    </row>
    <row r="21" spans="1:5" x14ac:dyDescent="0.25">
      <c r="A21" s="6" t="s">
        <v>22</v>
      </c>
      <c r="B21" s="4">
        <v>812</v>
      </c>
      <c r="C21" s="4">
        <v>849</v>
      </c>
      <c r="D21" s="4">
        <v>835</v>
      </c>
      <c r="E21" s="4">
        <v>611</v>
      </c>
    </row>
    <row r="22" spans="1:5" x14ac:dyDescent="0.25">
      <c r="A22" s="6" t="s">
        <v>23</v>
      </c>
      <c r="B22" s="4">
        <v>663</v>
      </c>
      <c r="C22" s="4">
        <v>978</v>
      </c>
      <c r="D22" s="4">
        <v>853</v>
      </c>
      <c r="E22" s="4">
        <v>641</v>
      </c>
    </row>
    <row r="23" spans="1:5" x14ac:dyDescent="0.25">
      <c r="A23" s="6" t="s">
        <v>24</v>
      </c>
      <c r="B23" s="4">
        <v>837</v>
      </c>
      <c r="C23" s="4">
        <v>603</v>
      </c>
      <c r="D23" s="4">
        <v>615</v>
      </c>
      <c r="E23" s="4">
        <v>747</v>
      </c>
    </row>
    <row r="24" spans="1:5" x14ac:dyDescent="0.25">
      <c r="A24" s="6" t="s">
        <v>25</v>
      </c>
      <c r="B24" s="4">
        <v>885</v>
      </c>
      <c r="C24" s="4">
        <v>642</v>
      </c>
      <c r="D24" s="4">
        <v>671</v>
      </c>
      <c r="E24" s="4">
        <v>595</v>
      </c>
    </row>
    <row r="25" spans="1:5" x14ac:dyDescent="0.25">
      <c r="A25" s="6" t="s">
        <v>26</v>
      </c>
      <c r="B25" s="4">
        <v>620</v>
      </c>
      <c r="C25" s="4">
        <v>793</v>
      </c>
      <c r="D25" s="4">
        <v>835</v>
      </c>
      <c r="E25" s="4">
        <v>632</v>
      </c>
    </row>
    <row r="26" spans="1:5" x14ac:dyDescent="0.25">
      <c r="A26" s="6" t="s">
        <v>27</v>
      </c>
      <c r="B26" s="4">
        <v>1057</v>
      </c>
      <c r="C26" s="4">
        <v>776</v>
      </c>
      <c r="D26" s="4">
        <v>562</v>
      </c>
      <c r="E26" s="4">
        <v>754</v>
      </c>
    </row>
    <row r="27" spans="1:5" x14ac:dyDescent="0.25">
      <c r="A27" s="6" t="s">
        <v>28</v>
      </c>
      <c r="B27" s="4">
        <v>747</v>
      </c>
      <c r="C27" s="4">
        <v>933</v>
      </c>
      <c r="D27" s="4">
        <v>1040</v>
      </c>
      <c r="E27" s="4">
        <v>745</v>
      </c>
    </row>
    <row r="28" spans="1:5" x14ac:dyDescent="0.25">
      <c r="A28" s="6" t="s">
        <v>29</v>
      </c>
      <c r="B28" s="4">
        <v>768</v>
      </c>
      <c r="C28" s="4">
        <v>964</v>
      </c>
      <c r="D28" s="4">
        <v>877</v>
      </c>
      <c r="E28" s="4">
        <v>657</v>
      </c>
    </row>
    <row r="29" spans="1:5" x14ac:dyDescent="0.25">
      <c r="A29" s="6" t="s">
        <v>30</v>
      </c>
      <c r="B29" s="4">
        <v>750</v>
      </c>
      <c r="C29" s="4">
        <v>818</v>
      </c>
      <c r="D29" s="4">
        <v>905</v>
      </c>
      <c r="E29" s="4">
        <v>953</v>
      </c>
    </row>
    <row r="30" spans="1:5" x14ac:dyDescent="0.25">
      <c r="A30" s="6" t="s">
        <v>34</v>
      </c>
      <c r="B30" s="4">
        <v>9952</v>
      </c>
      <c r="C30" s="4">
        <v>9613</v>
      </c>
      <c r="D30" s="4">
        <v>9488</v>
      </c>
      <c r="E30" s="4">
        <v>8790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50"/>
  <sheetViews>
    <sheetView workbookViewId="0">
      <selection activeCell="O3" sqref="O3:S50"/>
    </sheetView>
  </sheetViews>
  <sheetFormatPr defaultRowHeight="15" x14ac:dyDescent="0.25"/>
  <cols>
    <col min="3" max="3" width="20.140625" customWidth="1"/>
    <col min="4" max="4" width="21.85546875" customWidth="1"/>
    <col min="5" max="5" width="13.85546875" customWidth="1"/>
    <col min="6" max="6" width="16.42578125" customWidth="1"/>
    <col min="7" max="7" width="11.7109375" customWidth="1"/>
    <col min="8" max="8" width="14.28515625" customWidth="1"/>
    <col min="9" max="9" width="15" customWidth="1"/>
    <col min="10" max="14" width="10.85546875" customWidth="1"/>
    <col min="15" max="19" width="11.5703125" bestFit="1" customWidth="1"/>
  </cols>
  <sheetData>
    <row r="2" spans="1:19"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0</v>
      </c>
    </row>
    <row r="3" spans="1:19" x14ac:dyDescent="0.25">
      <c r="A3">
        <v>2025</v>
      </c>
      <c r="B3" t="s">
        <v>19</v>
      </c>
      <c r="C3">
        <v>694</v>
      </c>
      <c r="D3">
        <v>792</v>
      </c>
      <c r="E3">
        <v>654</v>
      </c>
      <c r="F3">
        <v>937</v>
      </c>
      <c r="G3" s="1">
        <v>0.06</v>
      </c>
      <c r="H3" s="1">
        <v>0.08</v>
      </c>
      <c r="I3" s="1">
        <v>7.0000000000000007E-2</v>
      </c>
      <c r="J3">
        <v>32852</v>
      </c>
      <c r="K3">
        <v>41621</v>
      </c>
      <c r="L3">
        <v>13294</v>
      </c>
      <c r="M3">
        <v>33787</v>
      </c>
      <c r="N3">
        <v>27584</v>
      </c>
      <c r="O3" s="13">
        <v>30225</v>
      </c>
      <c r="P3" s="13">
        <v>30947</v>
      </c>
      <c r="Q3" s="13">
        <v>28551</v>
      </c>
      <c r="R3" s="13">
        <v>28039</v>
      </c>
      <c r="S3" s="13">
        <v>39202</v>
      </c>
    </row>
    <row r="4" spans="1:19" x14ac:dyDescent="0.25">
      <c r="A4">
        <v>2025</v>
      </c>
      <c r="B4" t="s">
        <v>20</v>
      </c>
      <c r="C4">
        <v>1085</v>
      </c>
      <c r="D4">
        <v>753</v>
      </c>
      <c r="E4">
        <v>756</v>
      </c>
      <c r="F4">
        <v>657</v>
      </c>
      <c r="G4" s="1">
        <v>0.15</v>
      </c>
      <c r="H4" s="1">
        <v>0.12</v>
      </c>
      <c r="I4" s="1">
        <v>0.18</v>
      </c>
      <c r="J4">
        <v>36228</v>
      </c>
      <c r="K4">
        <v>31001</v>
      </c>
      <c r="L4">
        <v>24043</v>
      </c>
      <c r="M4">
        <v>24387</v>
      </c>
      <c r="N4">
        <v>32505</v>
      </c>
      <c r="O4" s="13">
        <v>24108</v>
      </c>
      <c r="P4" s="13">
        <v>37255</v>
      </c>
      <c r="Q4" s="13">
        <v>29321</v>
      </c>
      <c r="R4" s="13">
        <v>35250</v>
      </c>
      <c r="S4" s="13">
        <v>34380</v>
      </c>
    </row>
    <row r="5" spans="1:19" x14ac:dyDescent="0.25">
      <c r="A5">
        <v>2025</v>
      </c>
      <c r="B5" t="s">
        <v>21</v>
      </c>
      <c r="C5">
        <v>1034</v>
      </c>
      <c r="D5">
        <v>712</v>
      </c>
      <c r="E5">
        <v>885</v>
      </c>
      <c r="F5">
        <v>861</v>
      </c>
      <c r="G5" s="1">
        <v>0.28000000000000003</v>
      </c>
      <c r="H5" s="1">
        <v>0.25</v>
      </c>
      <c r="I5" s="1">
        <v>0.3</v>
      </c>
      <c r="J5">
        <v>24285</v>
      </c>
      <c r="K5">
        <v>37660</v>
      </c>
      <c r="L5">
        <v>13281</v>
      </c>
      <c r="M5">
        <v>21174</v>
      </c>
      <c r="N5">
        <v>43842</v>
      </c>
      <c r="O5" s="13">
        <v>28764</v>
      </c>
      <c r="P5" s="13">
        <v>21427</v>
      </c>
      <c r="Q5" s="13">
        <v>35626</v>
      </c>
      <c r="R5" s="13">
        <v>33686</v>
      </c>
      <c r="S5" s="13">
        <v>34006</v>
      </c>
    </row>
    <row r="6" spans="1:19" x14ac:dyDescent="0.25">
      <c r="A6">
        <v>2025</v>
      </c>
      <c r="B6" t="s">
        <v>22</v>
      </c>
      <c r="C6">
        <v>812</v>
      </c>
      <c r="D6">
        <v>849</v>
      </c>
      <c r="E6">
        <v>835</v>
      </c>
      <c r="F6">
        <v>611</v>
      </c>
      <c r="G6" s="1">
        <v>0.35</v>
      </c>
      <c r="H6" s="1">
        <v>0.38</v>
      </c>
      <c r="I6" s="1">
        <v>0.41</v>
      </c>
      <c r="J6">
        <v>28616</v>
      </c>
      <c r="K6">
        <v>25709</v>
      </c>
      <c r="L6">
        <v>25612</v>
      </c>
      <c r="M6">
        <v>14662</v>
      </c>
      <c r="N6">
        <v>19725</v>
      </c>
      <c r="O6" s="13">
        <v>33790</v>
      </c>
      <c r="P6" s="13">
        <v>32505</v>
      </c>
      <c r="Q6" s="13">
        <v>27016</v>
      </c>
      <c r="R6" s="13">
        <v>31792</v>
      </c>
      <c r="S6" s="13">
        <v>35639</v>
      </c>
    </row>
    <row r="7" spans="1:19" x14ac:dyDescent="0.25">
      <c r="A7">
        <v>2025</v>
      </c>
      <c r="B7" t="s">
        <v>23</v>
      </c>
      <c r="C7">
        <v>663</v>
      </c>
      <c r="D7">
        <v>978</v>
      </c>
      <c r="E7">
        <v>853</v>
      </c>
      <c r="F7">
        <v>641</v>
      </c>
      <c r="G7" s="1">
        <v>0.49</v>
      </c>
      <c r="H7" s="1">
        <v>0.52</v>
      </c>
      <c r="I7" s="1">
        <v>0.55000000000000004</v>
      </c>
      <c r="J7">
        <v>46855</v>
      </c>
      <c r="K7">
        <v>19570</v>
      </c>
      <c r="L7">
        <v>30296</v>
      </c>
      <c r="M7">
        <v>17986</v>
      </c>
      <c r="N7">
        <v>45100</v>
      </c>
      <c r="O7" s="13">
        <v>34508</v>
      </c>
      <c r="P7" s="13">
        <v>23512</v>
      </c>
      <c r="Q7" s="13">
        <v>38027</v>
      </c>
      <c r="R7" s="13">
        <v>24179</v>
      </c>
      <c r="S7" s="13">
        <v>30826</v>
      </c>
    </row>
    <row r="8" spans="1:19" x14ac:dyDescent="0.25">
      <c r="A8">
        <v>2025</v>
      </c>
      <c r="B8" t="s">
        <v>24</v>
      </c>
      <c r="C8">
        <v>837</v>
      </c>
      <c r="D8">
        <v>603</v>
      </c>
      <c r="E8">
        <v>615</v>
      </c>
      <c r="F8">
        <v>747</v>
      </c>
      <c r="G8" s="1">
        <v>0.57999999999999996</v>
      </c>
      <c r="H8" s="1">
        <v>0.61</v>
      </c>
      <c r="I8" s="1">
        <v>0.64</v>
      </c>
      <c r="J8">
        <v>38944</v>
      </c>
      <c r="K8">
        <v>31359</v>
      </c>
      <c r="L8">
        <v>18419</v>
      </c>
      <c r="M8">
        <v>37526</v>
      </c>
      <c r="N8">
        <v>16482</v>
      </c>
      <c r="O8" s="13">
        <v>37425</v>
      </c>
      <c r="P8" s="13">
        <v>32174</v>
      </c>
      <c r="Q8" s="13">
        <v>36276</v>
      </c>
      <c r="R8" s="13">
        <v>31244</v>
      </c>
      <c r="S8" s="13">
        <v>23972</v>
      </c>
    </row>
    <row r="9" spans="1:19" x14ac:dyDescent="0.25">
      <c r="A9">
        <v>2025</v>
      </c>
      <c r="B9" t="s">
        <v>25</v>
      </c>
      <c r="C9">
        <v>885</v>
      </c>
      <c r="D9">
        <v>642</v>
      </c>
      <c r="E9">
        <v>671</v>
      </c>
      <c r="F9">
        <v>595</v>
      </c>
      <c r="G9" s="1">
        <v>0.69</v>
      </c>
      <c r="H9" s="1">
        <v>0.72</v>
      </c>
      <c r="I9" s="1">
        <v>0.75</v>
      </c>
      <c r="J9">
        <v>31753</v>
      </c>
      <c r="K9">
        <v>24384</v>
      </c>
      <c r="L9">
        <v>25165</v>
      </c>
      <c r="M9">
        <v>35949</v>
      </c>
      <c r="N9">
        <v>43189</v>
      </c>
      <c r="O9" s="13">
        <v>36241</v>
      </c>
      <c r="P9" s="13">
        <v>21483</v>
      </c>
      <c r="Q9" s="13">
        <v>33649</v>
      </c>
      <c r="R9" s="13">
        <v>22150</v>
      </c>
      <c r="S9" s="13">
        <v>22879</v>
      </c>
    </row>
    <row r="10" spans="1:19" x14ac:dyDescent="0.25">
      <c r="A10">
        <v>2025</v>
      </c>
      <c r="B10" t="s">
        <v>26</v>
      </c>
      <c r="C10">
        <v>620</v>
      </c>
      <c r="D10">
        <v>793</v>
      </c>
      <c r="E10">
        <v>835</v>
      </c>
      <c r="F10">
        <v>632</v>
      </c>
      <c r="G10" s="1">
        <v>0.78</v>
      </c>
      <c r="H10" s="1">
        <v>0.81</v>
      </c>
      <c r="I10" s="1">
        <v>0.84</v>
      </c>
      <c r="J10">
        <v>35253</v>
      </c>
      <c r="K10">
        <v>25421</v>
      </c>
      <c r="L10">
        <v>12867</v>
      </c>
      <c r="M10">
        <v>20194</v>
      </c>
      <c r="N10">
        <v>40804</v>
      </c>
      <c r="O10" s="13">
        <v>32960</v>
      </c>
      <c r="P10" s="13">
        <v>21769</v>
      </c>
      <c r="Q10" s="13">
        <v>35047</v>
      </c>
      <c r="R10" s="13">
        <v>21906</v>
      </c>
      <c r="S10" s="13">
        <v>22740</v>
      </c>
    </row>
    <row r="11" spans="1:19" x14ac:dyDescent="0.25">
      <c r="A11">
        <v>2025</v>
      </c>
      <c r="B11" t="s">
        <v>27</v>
      </c>
      <c r="C11">
        <v>1057</v>
      </c>
      <c r="D11">
        <v>776</v>
      </c>
      <c r="E11">
        <v>562</v>
      </c>
      <c r="F11">
        <v>754</v>
      </c>
      <c r="G11" s="1">
        <v>0.85</v>
      </c>
      <c r="H11" s="1">
        <v>0.88</v>
      </c>
      <c r="I11" s="1">
        <v>0.9</v>
      </c>
      <c r="J11">
        <v>41730</v>
      </c>
      <c r="K11">
        <v>31924</v>
      </c>
      <c r="L11">
        <v>44750</v>
      </c>
      <c r="M11">
        <v>25311</v>
      </c>
      <c r="N11">
        <v>35368</v>
      </c>
      <c r="O11" s="13">
        <v>33160</v>
      </c>
      <c r="P11" s="13">
        <v>37720</v>
      </c>
      <c r="Q11" s="13">
        <v>23911</v>
      </c>
      <c r="R11" s="13">
        <v>30637</v>
      </c>
      <c r="S11" s="13">
        <v>25161</v>
      </c>
    </row>
    <row r="12" spans="1:19" x14ac:dyDescent="0.25">
      <c r="A12">
        <v>2025</v>
      </c>
      <c r="B12" t="s">
        <v>28</v>
      </c>
      <c r="C12">
        <v>747</v>
      </c>
      <c r="D12">
        <v>933</v>
      </c>
      <c r="E12">
        <v>1040</v>
      </c>
      <c r="F12">
        <v>745</v>
      </c>
      <c r="G12" s="1">
        <v>0.89</v>
      </c>
      <c r="H12" s="1">
        <v>0.91</v>
      </c>
      <c r="I12" s="1">
        <v>0.92</v>
      </c>
      <c r="J12">
        <v>30597</v>
      </c>
      <c r="K12">
        <v>22900</v>
      </c>
      <c r="L12">
        <v>16954</v>
      </c>
      <c r="M12">
        <v>37484</v>
      </c>
      <c r="N12">
        <v>34577</v>
      </c>
      <c r="O12" s="13">
        <v>28645</v>
      </c>
      <c r="P12" s="13">
        <v>30773</v>
      </c>
      <c r="Q12" s="13">
        <v>31193</v>
      </c>
      <c r="R12" s="13">
        <v>24474</v>
      </c>
      <c r="S12" s="13">
        <v>28479</v>
      </c>
    </row>
    <row r="13" spans="1:19" x14ac:dyDescent="0.25">
      <c r="A13">
        <v>2025</v>
      </c>
      <c r="B13" t="s">
        <v>29</v>
      </c>
      <c r="C13">
        <v>768</v>
      </c>
      <c r="D13">
        <v>964</v>
      </c>
      <c r="E13">
        <v>877</v>
      </c>
      <c r="F13">
        <v>657</v>
      </c>
      <c r="G13" s="1">
        <v>0.93</v>
      </c>
      <c r="H13" s="1">
        <v>0.94</v>
      </c>
      <c r="I13" s="1">
        <v>0.94</v>
      </c>
      <c r="J13">
        <v>42410</v>
      </c>
      <c r="K13">
        <v>40455</v>
      </c>
      <c r="L13">
        <v>16442</v>
      </c>
      <c r="M13">
        <v>20228</v>
      </c>
      <c r="N13">
        <v>36687</v>
      </c>
      <c r="O13" s="13">
        <v>24648</v>
      </c>
      <c r="P13" s="13">
        <v>24112</v>
      </c>
      <c r="Q13" s="13">
        <v>28743</v>
      </c>
      <c r="R13" s="13">
        <v>31366</v>
      </c>
      <c r="S13" s="13">
        <v>32786</v>
      </c>
    </row>
    <row r="14" spans="1:19" x14ac:dyDescent="0.25">
      <c r="A14">
        <v>2025</v>
      </c>
      <c r="B14" t="s">
        <v>30</v>
      </c>
      <c r="C14">
        <v>750</v>
      </c>
      <c r="D14">
        <v>818</v>
      </c>
      <c r="E14">
        <v>905</v>
      </c>
      <c r="F14">
        <v>953</v>
      </c>
      <c r="G14" s="1">
        <v>0.95</v>
      </c>
      <c r="H14" s="1">
        <v>0.95</v>
      </c>
      <c r="I14" s="1">
        <v>0.95</v>
      </c>
      <c r="J14">
        <v>32911</v>
      </c>
      <c r="K14">
        <v>46761</v>
      </c>
      <c r="L14">
        <v>41179</v>
      </c>
      <c r="M14">
        <v>39561</v>
      </c>
      <c r="N14">
        <v>46813</v>
      </c>
      <c r="O14" s="13">
        <v>35905</v>
      </c>
      <c r="P14" s="13">
        <v>24335</v>
      </c>
      <c r="Q14" s="13">
        <v>26151</v>
      </c>
      <c r="R14" s="13">
        <v>22569</v>
      </c>
      <c r="S14" s="13">
        <v>36582</v>
      </c>
    </row>
    <row r="15" spans="1:19" x14ac:dyDescent="0.25">
      <c r="A15">
        <v>2026</v>
      </c>
      <c r="B15" t="s">
        <v>19</v>
      </c>
      <c r="C15">
        <v>887</v>
      </c>
      <c r="D15">
        <v>875</v>
      </c>
      <c r="E15">
        <v>711</v>
      </c>
      <c r="F15">
        <v>747</v>
      </c>
      <c r="G15" s="1">
        <v>0.09</v>
      </c>
      <c r="H15" s="1">
        <v>0.11</v>
      </c>
      <c r="I15" s="1">
        <v>0.06</v>
      </c>
      <c r="J15">
        <v>22682</v>
      </c>
      <c r="K15">
        <v>34139</v>
      </c>
      <c r="L15">
        <v>23254</v>
      </c>
      <c r="M15">
        <v>13294</v>
      </c>
      <c r="N15">
        <v>29963</v>
      </c>
      <c r="O15" s="13">
        <v>24303</v>
      </c>
      <c r="P15" s="13">
        <v>29238</v>
      </c>
      <c r="Q15" s="13">
        <v>32536</v>
      </c>
      <c r="R15" s="13">
        <v>24830</v>
      </c>
      <c r="S15" s="13">
        <v>36988</v>
      </c>
    </row>
    <row r="16" spans="1:19" x14ac:dyDescent="0.25">
      <c r="A16">
        <v>2026</v>
      </c>
      <c r="B16" t="s">
        <v>20</v>
      </c>
      <c r="C16">
        <v>892</v>
      </c>
      <c r="D16">
        <v>831</v>
      </c>
      <c r="E16">
        <v>801</v>
      </c>
      <c r="F16">
        <v>663</v>
      </c>
      <c r="G16" s="1">
        <v>0.16</v>
      </c>
      <c r="H16" s="1">
        <v>0.19</v>
      </c>
      <c r="I16" s="1">
        <v>0.13</v>
      </c>
      <c r="J16">
        <v>26895</v>
      </c>
      <c r="K16">
        <v>24766</v>
      </c>
      <c r="L16">
        <v>12746</v>
      </c>
      <c r="M16">
        <v>14050</v>
      </c>
      <c r="N16">
        <v>38495</v>
      </c>
      <c r="O16" s="13">
        <v>33954</v>
      </c>
      <c r="P16" s="13">
        <v>29423</v>
      </c>
      <c r="Q16" s="13">
        <v>36551</v>
      </c>
      <c r="R16" s="13">
        <v>35267</v>
      </c>
      <c r="S16" s="13">
        <v>33712</v>
      </c>
    </row>
    <row r="17" spans="1:19" x14ac:dyDescent="0.25">
      <c r="A17">
        <v>2026</v>
      </c>
      <c r="B17" t="s">
        <v>21</v>
      </c>
      <c r="C17">
        <v>802</v>
      </c>
      <c r="D17">
        <v>1018</v>
      </c>
      <c r="E17">
        <v>647</v>
      </c>
      <c r="F17">
        <v>964</v>
      </c>
      <c r="G17" s="1">
        <v>0.28999999999999998</v>
      </c>
      <c r="H17" s="1">
        <v>0.32</v>
      </c>
      <c r="I17" s="1">
        <v>0.26</v>
      </c>
      <c r="J17">
        <v>45014</v>
      </c>
      <c r="K17">
        <v>26813</v>
      </c>
      <c r="L17">
        <v>37641</v>
      </c>
      <c r="M17">
        <v>20506</v>
      </c>
      <c r="N17">
        <v>16674</v>
      </c>
      <c r="O17" s="13">
        <v>38097</v>
      </c>
      <c r="P17" s="13">
        <v>32235</v>
      </c>
      <c r="Q17" s="13">
        <v>24639</v>
      </c>
      <c r="R17" s="13">
        <v>27318</v>
      </c>
      <c r="S17" s="13">
        <v>27789</v>
      </c>
    </row>
    <row r="18" spans="1:19" x14ac:dyDescent="0.25">
      <c r="A18">
        <v>2026</v>
      </c>
      <c r="B18" t="s">
        <v>22</v>
      </c>
      <c r="C18">
        <v>1086</v>
      </c>
      <c r="D18">
        <v>844</v>
      </c>
      <c r="E18">
        <v>945</v>
      </c>
      <c r="F18">
        <v>972</v>
      </c>
      <c r="G18" s="1">
        <v>0.36</v>
      </c>
      <c r="H18" s="1">
        <v>0.39</v>
      </c>
      <c r="I18" s="1">
        <v>0.33</v>
      </c>
      <c r="J18">
        <v>34808</v>
      </c>
      <c r="K18">
        <v>33385</v>
      </c>
      <c r="L18">
        <v>28844</v>
      </c>
      <c r="M18">
        <v>28829</v>
      </c>
      <c r="N18">
        <v>24867</v>
      </c>
      <c r="O18" s="13">
        <v>36115</v>
      </c>
      <c r="P18" s="13">
        <v>37888</v>
      </c>
      <c r="Q18" s="13">
        <v>29759</v>
      </c>
      <c r="R18" s="13">
        <v>31228</v>
      </c>
      <c r="S18" s="13">
        <v>22394</v>
      </c>
    </row>
    <row r="19" spans="1:19" x14ac:dyDescent="0.25">
      <c r="A19">
        <v>2026</v>
      </c>
      <c r="B19" t="s">
        <v>23</v>
      </c>
      <c r="C19">
        <v>1036</v>
      </c>
      <c r="D19">
        <v>1039</v>
      </c>
      <c r="E19">
        <v>827</v>
      </c>
      <c r="F19">
        <v>947</v>
      </c>
      <c r="G19" s="1">
        <v>0.5</v>
      </c>
      <c r="H19" s="1">
        <v>0.53</v>
      </c>
      <c r="I19" s="1">
        <v>0.45</v>
      </c>
      <c r="J19">
        <v>41562</v>
      </c>
      <c r="K19">
        <v>16290</v>
      </c>
      <c r="L19">
        <v>42489</v>
      </c>
      <c r="M19">
        <v>27084</v>
      </c>
      <c r="N19">
        <v>16480</v>
      </c>
      <c r="O19" s="13">
        <v>28833</v>
      </c>
      <c r="P19" s="13">
        <v>22312</v>
      </c>
      <c r="Q19" s="13">
        <v>25916</v>
      </c>
      <c r="R19" s="13">
        <v>23868</v>
      </c>
      <c r="S19" s="13">
        <v>21286</v>
      </c>
    </row>
    <row r="20" spans="1:19" x14ac:dyDescent="0.25">
      <c r="A20">
        <v>2026</v>
      </c>
      <c r="B20" t="s">
        <v>24</v>
      </c>
      <c r="C20">
        <v>737</v>
      </c>
      <c r="D20">
        <v>1016</v>
      </c>
      <c r="E20">
        <v>911</v>
      </c>
      <c r="F20">
        <v>1043</v>
      </c>
      <c r="G20" s="1">
        <v>0.59</v>
      </c>
      <c r="H20" s="1">
        <v>0.62</v>
      </c>
      <c r="I20" s="1">
        <v>0.56999999999999995</v>
      </c>
      <c r="J20">
        <v>28922</v>
      </c>
      <c r="K20">
        <v>18707</v>
      </c>
      <c r="L20">
        <v>13636</v>
      </c>
      <c r="M20">
        <v>35765</v>
      </c>
      <c r="N20">
        <v>30665</v>
      </c>
      <c r="O20" s="13">
        <v>37276</v>
      </c>
      <c r="P20" s="13">
        <v>35827</v>
      </c>
      <c r="Q20" s="13">
        <v>30255</v>
      </c>
      <c r="R20" s="13">
        <v>33099</v>
      </c>
      <c r="S20" s="13">
        <v>23609</v>
      </c>
    </row>
    <row r="21" spans="1:19" x14ac:dyDescent="0.25">
      <c r="A21">
        <v>2026</v>
      </c>
      <c r="B21" t="s">
        <v>25</v>
      </c>
      <c r="C21">
        <v>647</v>
      </c>
      <c r="D21">
        <v>759</v>
      </c>
      <c r="E21">
        <v>833</v>
      </c>
      <c r="F21">
        <v>873</v>
      </c>
      <c r="G21" s="1">
        <v>0.7</v>
      </c>
      <c r="H21" s="1">
        <v>0.73</v>
      </c>
      <c r="I21" s="1">
        <v>0.68</v>
      </c>
      <c r="J21">
        <v>27195</v>
      </c>
      <c r="K21">
        <v>29500</v>
      </c>
      <c r="L21">
        <v>42524</v>
      </c>
      <c r="M21">
        <v>29898</v>
      </c>
      <c r="N21">
        <v>33845</v>
      </c>
      <c r="O21" s="13">
        <v>26933</v>
      </c>
      <c r="P21" s="13">
        <v>32713</v>
      </c>
      <c r="Q21" s="13">
        <v>34147</v>
      </c>
      <c r="R21" s="13">
        <v>23405</v>
      </c>
      <c r="S21" s="13">
        <v>28897</v>
      </c>
    </row>
    <row r="22" spans="1:19" x14ac:dyDescent="0.25">
      <c r="A22">
        <v>2026</v>
      </c>
      <c r="B22" t="s">
        <v>26</v>
      </c>
      <c r="C22">
        <v>688</v>
      </c>
      <c r="D22">
        <v>875</v>
      </c>
      <c r="E22">
        <v>951</v>
      </c>
      <c r="F22">
        <v>651</v>
      </c>
      <c r="G22" s="1">
        <v>0.79</v>
      </c>
      <c r="H22" s="1">
        <v>0.82</v>
      </c>
      <c r="I22" s="1">
        <v>0.77</v>
      </c>
      <c r="J22">
        <v>21420</v>
      </c>
      <c r="K22">
        <v>30187</v>
      </c>
      <c r="L22">
        <v>44873</v>
      </c>
      <c r="M22">
        <v>27914</v>
      </c>
      <c r="N22">
        <v>28924</v>
      </c>
      <c r="O22" s="13">
        <v>27020</v>
      </c>
      <c r="P22" s="13">
        <v>34060</v>
      </c>
      <c r="Q22" s="13">
        <v>26310</v>
      </c>
      <c r="R22" s="13">
        <v>29802</v>
      </c>
      <c r="S22" s="13">
        <v>33156</v>
      </c>
    </row>
    <row r="23" spans="1:19" x14ac:dyDescent="0.25">
      <c r="A23">
        <v>2026</v>
      </c>
      <c r="B23" t="s">
        <v>27</v>
      </c>
      <c r="C23">
        <v>969</v>
      </c>
      <c r="D23">
        <v>765</v>
      </c>
      <c r="E23">
        <v>870</v>
      </c>
      <c r="F23">
        <v>655</v>
      </c>
      <c r="G23" s="1">
        <v>0.86</v>
      </c>
      <c r="H23" s="1">
        <v>0.89</v>
      </c>
      <c r="I23" s="1">
        <v>0.83</v>
      </c>
      <c r="J23">
        <v>26802</v>
      </c>
      <c r="K23">
        <v>40775</v>
      </c>
      <c r="L23">
        <v>37399</v>
      </c>
      <c r="M23">
        <v>13590</v>
      </c>
      <c r="N23">
        <v>40279</v>
      </c>
      <c r="O23" s="13">
        <v>30945</v>
      </c>
      <c r="P23" s="13">
        <v>21705</v>
      </c>
      <c r="Q23" s="13">
        <v>32179</v>
      </c>
      <c r="R23" s="13">
        <v>24860</v>
      </c>
      <c r="S23" s="13">
        <v>22096</v>
      </c>
    </row>
    <row r="24" spans="1:19" x14ac:dyDescent="0.25">
      <c r="A24">
        <v>2026</v>
      </c>
      <c r="B24" t="s">
        <v>28</v>
      </c>
      <c r="C24">
        <v>763</v>
      </c>
      <c r="D24">
        <v>600</v>
      </c>
      <c r="E24">
        <v>1005</v>
      </c>
      <c r="F24">
        <v>766</v>
      </c>
      <c r="G24" s="1">
        <v>0.9</v>
      </c>
      <c r="H24" s="1">
        <v>0.92</v>
      </c>
      <c r="I24" s="1">
        <v>0.87</v>
      </c>
      <c r="J24">
        <v>32910</v>
      </c>
      <c r="K24">
        <v>27602</v>
      </c>
      <c r="L24">
        <v>40037</v>
      </c>
      <c r="M24">
        <v>32158</v>
      </c>
      <c r="N24">
        <v>17057</v>
      </c>
      <c r="O24" s="13">
        <v>29434</v>
      </c>
      <c r="P24" s="13">
        <v>24206</v>
      </c>
      <c r="Q24" s="13">
        <v>22492</v>
      </c>
      <c r="R24" s="13">
        <v>25119</v>
      </c>
      <c r="S24" s="13">
        <v>36213</v>
      </c>
    </row>
    <row r="25" spans="1:19" x14ac:dyDescent="0.25">
      <c r="A25">
        <v>2026</v>
      </c>
      <c r="B25" t="s">
        <v>29</v>
      </c>
      <c r="C25">
        <v>773</v>
      </c>
      <c r="D25">
        <v>857</v>
      </c>
      <c r="E25">
        <v>868</v>
      </c>
      <c r="F25">
        <v>697</v>
      </c>
      <c r="G25" s="1">
        <v>0.93</v>
      </c>
      <c r="H25" s="1">
        <v>0.94</v>
      </c>
      <c r="I25" s="1">
        <v>0.91</v>
      </c>
      <c r="J25">
        <v>34668</v>
      </c>
      <c r="K25">
        <v>43111</v>
      </c>
      <c r="L25">
        <v>16369</v>
      </c>
      <c r="M25">
        <v>35335</v>
      </c>
      <c r="N25">
        <v>42733</v>
      </c>
      <c r="O25" s="13">
        <v>25076</v>
      </c>
      <c r="P25" s="13">
        <v>33024</v>
      </c>
      <c r="Q25" s="13">
        <v>23869</v>
      </c>
      <c r="R25" s="13">
        <v>35604</v>
      </c>
      <c r="S25" s="13">
        <v>34888</v>
      </c>
    </row>
    <row r="26" spans="1:19" x14ac:dyDescent="0.25">
      <c r="A26">
        <v>2026</v>
      </c>
      <c r="B26" t="s">
        <v>30</v>
      </c>
      <c r="C26">
        <v>1054</v>
      </c>
      <c r="D26">
        <v>715</v>
      </c>
      <c r="E26">
        <v>1096</v>
      </c>
      <c r="F26">
        <v>736</v>
      </c>
      <c r="G26" s="1">
        <v>0.95</v>
      </c>
      <c r="H26" s="1">
        <v>0.95</v>
      </c>
      <c r="I26" s="1">
        <v>0.95</v>
      </c>
      <c r="J26">
        <v>26270</v>
      </c>
      <c r="K26">
        <v>31159</v>
      </c>
      <c r="L26">
        <v>18736</v>
      </c>
      <c r="M26">
        <v>28694</v>
      </c>
      <c r="N26">
        <v>47915</v>
      </c>
      <c r="O26" s="13">
        <v>35541</v>
      </c>
      <c r="P26" s="13">
        <v>27527</v>
      </c>
      <c r="Q26" s="13">
        <v>34576</v>
      </c>
      <c r="R26" s="13">
        <v>37622</v>
      </c>
      <c r="S26" s="13">
        <v>30683</v>
      </c>
    </row>
    <row r="27" spans="1:19" x14ac:dyDescent="0.25">
      <c r="A27">
        <v>2027</v>
      </c>
      <c r="B27" t="s">
        <v>19</v>
      </c>
      <c r="C27">
        <v>607</v>
      </c>
      <c r="D27">
        <v>664</v>
      </c>
      <c r="E27">
        <v>829</v>
      </c>
      <c r="F27">
        <v>897</v>
      </c>
      <c r="G27" s="1">
        <v>0.05</v>
      </c>
      <c r="H27" s="1">
        <v>7.0000000000000007E-2</v>
      </c>
      <c r="I27" s="1">
        <v>0.1</v>
      </c>
      <c r="J27">
        <v>46994</v>
      </c>
      <c r="K27">
        <v>21319</v>
      </c>
      <c r="L27">
        <v>12990</v>
      </c>
      <c r="M27">
        <v>42586</v>
      </c>
      <c r="N27">
        <v>32558</v>
      </c>
      <c r="O27" s="13">
        <v>22640</v>
      </c>
      <c r="P27" s="13">
        <v>30226</v>
      </c>
      <c r="Q27" s="13">
        <v>25488</v>
      </c>
      <c r="R27" s="13">
        <v>21944</v>
      </c>
      <c r="S27" s="13">
        <v>24998</v>
      </c>
    </row>
    <row r="28" spans="1:19" x14ac:dyDescent="0.25">
      <c r="A28">
        <v>2027</v>
      </c>
      <c r="B28" t="s">
        <v>20</v>
      </c>
      <c r="C28">
        <v>865</v>
      </c>
      <c r="D28">
        <v>929</v>
      </c>
      <c r="E28">
        <v>954</v>
      </c>
      <c r="F28">
        <v>815</v>
      </c>
      <c r="G28" s="1">
        <v>0.14000000000000001</v>
      </c>
      <c r="H28" s="1">
        <v>0.16</v>
      </c>
      <c r="I28" s="1">
        <v>0.2</v>
      </c>
      <c r="J28">
        <v>39026</v>
      </c>
      <c r="K28">
        <v>26722</v>
      </c>
      <c r="L28">
        <v>40333</v>
      </c>
      <c r="M28">
        <v>30509</v>
      </c>
      <c r="N28">
        <v>41433</v>
      </c>
      <c r="O28" s="13">
        <v>30614</v>
      </c>
      <c r="P28" s="13">
        <v>37770</v>
      </c>
      <c r="Q28" s="13">
        <v>26212</v>
      </c>
      <c r="R28" s="13">
        <v>34215</v>
      </c>
      <c r="S28" s="13">
        <v>22890</v>
      </c>
    </row>
    <row r="29" spans="1:19" x14ac:dyDescent="0.25">
      <c r="A29">
        <v>2027</v>
      </c>
      <c r="B29" t="s">
        <v>21</v>
      </c>
      <c r="C29">
        <v>970</v>
      </c>
      <c r="D29">
        <v>801</v>
      </c>
      <c r="E29">
        <v>549</v>
      </c>
      <c r="F29">
        <v>851</v>
      </c>
      <c r="G29" s="1">
        <v>0.27</v>
      </c>
      <c r="H29" s="1">
        <v>0.28999999999999998</v>
      </c>
      <c r="I29" s="1">
        <v>0.33</v>
      </c>
      <c r="J29">
        <v>41512</v>
      </c>
      <c r="K29">
        <v>42898</v>
      </c>
      <c r="L29">
        <v>30622</v>
      </c>
      <c r="M29">
        <v>14771</v>
      </c>
      <c r="N29">
        <v>19179</v>
      </c>
      <c r="O29" s="13">
        <v>35278</v>
      </c>
      <c r="P29" s="13">
        <v>32525</v>
      </c>
      <c r="Q29" s="13">
        <v>30408</v>
      </c>
      <c r="R29" s="13">
        <v>31157</v>
      </c>
      <c r="S29" s="13">
        <v>23892</v>
      </c>
    </row>
    <row r="30" spans="1:19" x14ac:dyDescent="0.25">
      <c r="A30">
        <v>2027</v>
      </c>
      <c r="B30" t="s">
        <v>22</v>
      </c>
      <c r="C30">
        <v>598</v>
      </c>
      <c r="D30">
        <v>983</v>
      </c>
      <c r="E30">
        <v>733</v>
      </c>
      <c r="F30">
        <v>995</v>
      </c>
      <c r="G30" s="1">
        <v>0.34</v>
      </c>
      <c r="H30" s="1">
        <v>0.37</v>
      </c>
      <c r="I30" s="1">
        <v>0.4</v>
      </c>
      <c r="J30">
        <v>40143</v>
      </c>
      <c r="K30">
        <v>29119</v>
      </c>
      <c r="L30">
        <v>38084</v>
      </c>
      <c r="M30">
        <v>21801</v>
      </c>
      <c r="N30">
        <v>28837</v>
      </c>
      <c r="O30" s="13">
        <v>33036</v>
      </c>
      <c r="P30" s="13">
        <v>27832</v>
      </c>
      <c r="Q30" s="13">
        <v>31177</v>
      </c>
      <c r="R30" s="13">
        <v>22446</v>
      </c>
      <c r="S30" s="13">
        <v>27687</v>
      </c>
    </row>
    <row r="31" spans="1:19" x14ac:dyDescent="0.25">
      <c r="A31">
        <v>2027</v>
      </c>
      <c r="B31" t="s">
        <v>23</v>
      </c>
      <c r="C31">
        <v>1068</v>
      </c>
      <c r="D31">
        <v>760</v>
      </c>
      <c r="E31">
        <v>573</v>
      </c>
      <c r="F31">
        <v>670</v>
      </c>
      <c r="G31" s="1">
        <v>0.48</v>
      </c>
      <c r="H31" s="1">
        <v>0.51</v>
      </c>
      <c r="I31" s="1">
        <v>0.54</v>
      </c>
      <c r="J31">
        <v>19402</v>
      </c>
      <c r="K31">
        <v>25448</v>
      </c>
      <c r="L31">
        <v>26037</v>
      </c>
      <c r="M31">
        <v>41488</v>
      </c>
      <c r="N31">
        <v>16490</v>
      </c>
      <c r="O31" s="13">
        <v>32155</v>
      </c>
      <c r="P31" s="13">
        <v>24688</v>
      </c>
      <c r="Q31" s="13">
        <v>21686</v>
      </c>
      <c r="R31" s="13">
        <v>27311</v>
      </c>
      <c r="S31" s="13">
        <v>31055</v>
      </c>
    </row>
    <row r="32" spans="1:19" x14ac:dyDescent="0.25">
      <c r="A32">
        <v>2027</v>
      </c>
      <c r="B32" t="s">
        <v>24</v>
      </c>
      <c r="C32">
        <v>804</v>
      </c>
      <c r="D32">
        <v>635</v>
      </c>
      <c r="E32">
        <v>715</v>
      </c>
      <c r="F32">
        <v>590</v>
      </c>
      <c r="G32" s="1">
        <v>0.56999999999999995</v>
      </c>
      <c r="H32" s="1">
        <v>0.6</v>
      </c>
      <c r="I32" s="1">
        <v>0.63</v>
      </c>
      <c r="J32">
        <v>24530</v>
      </c>
      <c r="K32">
        <v>24288</v>
      </c>
      <c r="L32">
        <v>41736</v>
      </c>
      <c r="M32">
        <v>35097</v>
      </c>
      <c r="N32">
        <v>47865</v>
      </c>
      <c r="O32" s="13">
        <v>28030</v>
      </c>
      <c r="P32" s="13">
        <v>21503</v>
      </c>
      <c r="Q32" s="13">
        <v>24869</v>
      </c>
      <c r="R32" s="13">
        <v>32877</v>
      </c>
      <c r="S32" s="13">
        <v>33387</v>
      </c>
    </row>
    <row r="33" spans="1:19" x14ac:dyDescent="0.25">
      <c r="A33">
        <v>2027</v>
      </c>
      <c r="B33" t="s">
        <v>25</v>
      </c>
      <c r="C33">
        <v>652</v>
      </c>
      <c r="D33">
        <v>602</v>
      </c>
      <c r="E33">
        <v>885</v>
      </c>
      <c r="F33">
        <v>600</v>
      </c>
      <c r="G33" s="1">
        <v>0.68</v>
      </c>
      <c r="H33" s="1">
        <v>0.71</v>
      </c>
      <c r="I33" s="1">
        <v>0.74</v>
      </c>
      <c r="J33">
        <v>30449</v>
      </c>
      <c r="K33">
        <v>38234</v>
      </c>
      <c r="L33">
        <v>32581</v>
      </c>
      <c r="M33">
        <v>35796</v>
      </c>
      <c r="N33">
        <v>43508</v>
      </c>
      <c r="O33" s="13">
        <v>24653</v>
      </c>
      <c r="P33" s="13">
        <v>22626</v>
      </c>
      <c r="Q33" s="13">
        <v>30513</v>
      </c>
      <c r="R33" s="13">
        <v>36461</v>
      </c>
      <c r="S33" s="13">
        <v>32248</v>
      </c>
    </row>
    <row r="34" spans="1:19" x14ac:dyDescent="0.25">
      <c r="A34">
        <v>2027</v>
      </c>
      <c r="B34" t="s">
        <v>26</v>
      </c>
      <c r="C34">
        <v>826</v>
      </c>
      <c r="D34">
        <v>680</v>
      </c>
      <c r="E34">
        <v>1027</v>
      </c>
      <c r="F34">
        <v>720</v>
      </c>
      <c r="G34" s="1">
        <v>0.48</v>
      </c>
      <c r="H34" s="1">
        <v>0.8</v>
      </c>
      <c r="I34" s="1">
        <v>0.83</v>
      </c>
      <c r="J34">
        <v>35455</v>
      </c>
      <c r="K34">
        <v>37801</v>
      </c>
      <c r="L34">
        <v>19878</v>
      </c>
      <c r="M34">
        <v>33982</v>
      </c>
      <c r="N34">
        <v>46627</v>
      </c>
      <c r="O34" s="13">
        <v>22793</v>
      </c>
      <c r="P34" s="13">
        <v>27717</v>
      </c>
      <c r="Q34" s="13">
        <v>34500</v>
      </c>
      <c r="R34" s="13">
        <v>35696</v>
      </c>
      <c r="S34" s="13">
        <v>29072</v>
      </c>
    </row>
    <row r="35" spans="1:19" x14ac:dyDescent="0.25">
      <c r="A35">
        <v>2027</v>
      </c>
      <c r="B35" t="s">
        <v>27</v>
      </c>
      <c r="C35">
        <v>932</v>
      </c>
      <c r="D35">
        <v>835</v>
      </c>
      <c r="E35">
        <v>1097</v>
      </c>
      <c r="F35">
        <v>775</v>
      </c>
      <c r="G35" s="1">
        <v>0.56999999999999995</v>
      </c>
      <c r="H35" s="1">
        <v>0.87</v>
      </c>
      <c r="I35" s="1">
        <v>0.89</v>
      </c>
      <c r="J35">
        <v>37333</v>
      </c>
      <c r="K35">
        <v>17426</v>
      </c>
      <c r="L35">
        <v>31802</v>
      </c>
      <c r="M35">
        <v>21211</v>
      </c>
      <c r="N35">
        <v>37649</v>
      </c>
      <c r="O35" s="13">
        <v>24418</v>
      </c>
      <c r="P35" s="13">
        <v>33610</v>
      </c>
      <c r="Q35" s="13">
        <v>35721</v>
      </c>
      <c r="R35" s="13">
        <v>31222</v>
      </c>
      <c r="S35" s="13">
        <v>25283</v>
      </c>
    </row>
    <row r="36" spans="1:19" x14ac:dyDescent="0.25">
      <c r="A36">
        <v>2027</v>
      </c>
      <c r="B36" t="s">
        <v>28</v>
      </c>
      <c r="C36">
        <v>1097</v>
      </c>
      <c r="D36">
        <v>925</v>
      </c>
      <c r="E36">
        <v>1073</v>
      </c>
      <c r="F36">
        <v>695</v>
      </c>
      <c r="G36" s="1">
        <v>0.68</v>
      </c>
      <c r="H36" s="1">
        <v>0.9</v>
      </c>
      <c r="I36" s="1">
        <v>0.91</v>
      </c>
      <c r="J36">
        <v>34335</v>
      </c>
      <c r="K36">
        <v>18562</v>
      </c>
      <c r="L36">
        <v>12775</v>
      </c>
      <c r="M36">
        <v>21995</v>
      </c>
      <c r="N36">
        <v>18192</v>
      </c>
      <c r="O36" s="13">
        <v>28507</v>
      </c>
      <c r="P36" s="13">
        <v>36877</v>
      </c>
      <c r="Q36" s="13">
        <v>32385</v>
      </c>
      <c r="R36" s="13">
        <v>24619</v>
      </c>
      <c r="S36" s="13">
        <v>21914</v>
      </c>
    </row>
    <row r="37" spans="1:19" x14ac:dyDescent="0.25">
      <c r="A37">
        <v>2027</v>
      </c>
      <c r="B37" t="s">
        <v>29</v>
      </c>
      <c r="C37">
        <v>1027</v>
      </c>
      <c r="D37">
        <v>875</v>
      </c>
      <c r="E37">
        <v>962</v>
      </c>
      <c r="F37">
        <v>635</v>
      </c>
      <c r="G37" s="1">
        <v>0.77</v>
      </c>
      <c r="H37" s="1">
        <v>0.93</v>
      </c>
      <c r="I37" s="1">
        <v>0.93</v>
      </c>
      <c r="J37">
        <v>28633</v>
      </c>
      <c r="K37">
        <v>47047</v>
      </c>
      <c r="L37">
        <v>42194</v>
      </c>
      <c r="M37">
        <v>32135</v>
      </c>
      <c r="N37">
        <v>45258</v>
      </c>
      <c r="O37" s="13">
        <v>32778</v>
      </c>
      <c r="P37" s="13">
        <v>35477</v>
      </c>
      <c r="Q37" s="13">
        <v>26766</v>
      </c>
      <c r="R37" s="13">
        <v>21422</v>
      </c>
      <c r="S37" s="13">
        <v>22357</v>
      </c>
    </row>
    <row r="38" spans="1:19" x14ac:dyDescent="0.25">
      <c r="A38">
        <v>2027</v>
      </c>
      <c r="B38" t="s">
        <v>30</v>
      </c>
      <c r="C38">
        <v>800</v>
      </c>
      <c r="D38">
        <v>765</v>
      </c>
      <c r="E38">
        <v>800</v>
      </c>
      <c r="F38">
        <v>680</v>
      </c>
      <c r="G38" s="1">
        <v>0.84</v>
      </c>
      <c r="H38" s="1">
        <v>0.95</v>
      </c>
      <c r="I38" s="1">
        <v>0.95</v>
      </c>
      <c r="J38">
        <v>23527</v>
      </c>
      <c r="K38">
        <v>37812</v>
      </c>
      <c r="L38">
        <v>26451</v>
      </c>
      <c r="M38">
        <v>28552</v>
      </c>
      <c r="N38">
        <v>33891</v>
      </c>
      <c r="O38" s="13">
        <v>35415</v>
      </c>
      <c r="P38" s="13">
        <v>29680</v>
      </c>
      <c r="Q38" s="13">
        <v>22190</v>
      </c>
      <c r="R38" s="13">
        <v>22100</v>
      </c>
      <c r="S38" s="13">
        <v>26385</v>
      </c>
    </row>
    <row r="39" spans="1:19" x14ac:dyDescent="0.25">
      <c r="A39">
        <v>2028</v>
      </c>
      <c r="B39" t="s">
        <v>19</v>
      </c>
      <c r="C39">
        <v>612</v>
      </c>
      <c r="D39">
        <v>520</v>
      </c>
      <c r="E39">
        <v>907</v>
      </c>
      <c r="F39">
        <v>740</v>
      </c>
      <c r="G39" s="1">
        <v>0.88</v>
      </c>
      <c r="H39" s="1">
        <v>0.13</v>
      </c>
      <c r="I39" s="1">
        <v>0.08</v>
      </c>
      <c r="J39">
        <v>21331</v>
      </c>
      <c r="K39">
        <v>16090</v>
      </c>
      <c r="L39">
        <v>18423</v>
      </c>
      <c r="M39">
        <v>23684</v>
      </c>
      <c r="N39">
        <v>27835</v>
      </c>
      <c r="O39" s="13">
        <v>33169</v>
      </c>
      <c r="P39" s="13">
        <v>23348</v>
      </c>
      <c r="Q39" s="13">
        <v>24244</v>
      </c>
      <c r="R39" s="13">
        <v>26367</v>
      </c>
      <c r="S39" s="13">
        <v>30946</v>
      </c>
    </row>
    <row r="40" spans="1:19" x14ac:dyDescent="0.25">
      <c r="A40">
        <v>2028</v>
      </c>
      <c r="B40" t="s">
        <v>20</v>
      </c>
      <c r="C40">
        <v>815</v>
      </c>
      <c r="D40">
        <v>670</v>
      </c>
      <c r="E40">
        <v>770</v>
      </c>
      <c r="F40">
        <v>850</v>
      </c>
      <c r="G40" s="1">
        <v>0.92</v>
      </c>
      <c r="H40" s="1">
        <v>0.2</v>
      </c>
      <c r="I40" s="1">
        <v>0.15</v>
      </c>
      <c r="J40">
        <v>23085</v>
      </c>
      <c r="K40">
        <v>26104</v>
      </c>
      <c r="L40">
        <v>27996</v>
      </c>
      <c r="M40">
        <v>32295</v>
      </c>
      <c r="N40">
        <v>26630</v>
      </c>
      <c r="O40" s="13">
        <v>27990</v>
      </c>
      <c r="P40" s="13">
        <v>21398</v>
      </c>
      <c r="Q40" s="13">
        <v>28661</v>
      </c>
      <c r="R40" s="13">
        <v>31747</v>
      </c>
      <c r="S40" s="13">
        <v>32722</v>
      </c>
    </row>
    <row r="41" spans="1:19" x14ac:dyDescent="0.25">
      <c r="A41">
        <v>2028</v>
      </c>
      <c r="B41" t="s">
        <v>21</v>
      </c>
      <c r="C41">
        <v>851</v>
      </c>
      <c r="D41">
        <v>850</v>
      </c>
      <c r="E41">
        <v>1056</v>
      </c>
      <c r="F41">
        <v>898</v>
      </c>
      <c r="G41" s="1">
        <v>0.95</v>
      </c>
      <c r="H41" s="1">
        <v>0.33</v>
      </c>
      <c r="I41" s="1">
        <v>0.28000000000000003</v>
      </c>
      <c r="J41">
        <v>26987</v>
      </c>
      <c r="K41">
        <v>27215</v>
      </c>
      <c r="L41">
        <v>28702</v>
      </c>
      <c r="M41">
        <v>24780</v>
      </c>
      <c r="N41">
        <v>27043</v>
      </c>
      <c r="O41" s="13">
        <v>23489</v>
      </c>
      <c r="P41" s="13">
        <v>24373</v>
      </c>
      <c r="Q41" s="13">
        <v>33111</v>
      </c>
      <c r="R41" s="13">
        <v>35304</v>
      </c>
      <c r="S41" s="13">
        <v>30719</v>
      </c>
    </row>
    <row r="42" spans="1:19" x14ac:dyDescent="0.25">
      <c r="A42">
        <v>2028</v>
      </c>
      <c r="B42" t="s">
        <v>22</v>
      </c>
      <c r="C42">
        <v>755</v>
      </c>
      <c r="D42">
        <v>1030</v>
      </c>
      <c r="E42">
        <v>1110</v>
      </c>
      <c r="F42">
        <v>809</v>
      </c>
      <c r="G42" s="1">
        <v>0.1</v>
      </c>
      <c r="H42" s="1">
        <v>0.4</v>
      </c>
      <c r="I42" s="1">
        <v>0.35</v>
      </c>
      <c r="J42">
        <v>30892</v>
      </c>
      <c r="K42">
        <v>29892</v>
      </c>
      <c r="L42">
        <v>24136</v>
      </c>
      <c r="M42">
        <v>36433</v>
      </c>
      <c r="N42">
        <v>26274</v>
      </c>
      <c r="O42" s="13">
        <v>22158</v>
      </c>
      <c r="P42" s="13">
        <v>28834</v>
      </c>
      <c r="Q42" s="13">
        <v>35699</v>
      </c>
      <c r="R42" s="13">
        <v>33533</v>
      </c>
      <c r="S42" s="13">
        <v>26324</v>
      </c>
    </row>
    <row r="43" spans="1:19" x14ac:dyDescent="0.25">
      <c r="A43">
        <v>2028</v>
      </c>
      <c r="B43" t="s">
        <v>23</v>
      </c>
      <c r="C43">
        <v>589</v>
      </c>
      <c r="D43">
        <v>1075</v>
      </c>
      <c r="E43">
        <v>967</v>
      </c>
      <c r="F43">
        <v>657</v>
      </c>
      <c r="G43" s="1">
        <v>0.17</v>
      </c>
      <c r="H43" s="1">
        <v>0.54</v>
      </c>
      <c r="I43" s="1">
        <v>0.47</v>
      </c>
      <c r="J43">
        <v>32641</v>
      </c>
      <c r="K43">
        <v>36940</v>
      </c>
      <c r="L43">
        <v>37122</v>
      </c>
      <c r="M43">
        <v>29889</v>
      </c>
      <c r="N43">
        <v>40361</v>
      </c>
      <c r="O43" s="13">
        <v>23974</v>
      </c>
      <c r="P43" s="13">
        <v>32344</v>
      </c>
      <c r="Q43" s="13">
        <v>34488</v>
      </c>
      <c r="R43" s="13">
        <v>28896</v>
      </c>
      <c r="S43" s="13">
        <v>22815</v>
      </c>
    </row>
    <row r="44" spans="1:19" x14ac:dyDescent="0.25">
      <c r="A44">
        <v>2028</v>
      </c>
      <c r="B44" t="s">
        <v>24</v>
      </c>
      <c r="C44">
        <v>470</v>
      </c>
      <c r="D44">
        <v>980</v>
      </c>
      <c r="E44">
        <v>522</v>
      </c>
      <c r="F44">
        <v>580</v>
      </c>
      <c r="G44" s="1">
        <v>0.3</v>
      </c>
      <c r="H44" s="1">
        <v>0.63</v>
      </c>
      <c r="I44" s="1">
        <v>0.59</v>
      </c>
      <c r="J44">
        <v>30850</v>
      </c>
      <c r="K44">
        <v>34388</v>
      </c>
      <c r="L44">
        <v>34652</v>
      </c>
      <c r="M44">
        <v>44085</v>
      </c>
      <c r="N44">
        <v>35464</v>
      </c>
      <c r="O44" s="13">
        <v>27543</v>
      </c>
      <c r="P44" s="13">
        <v>34696</v>
      </c>
      <c r="Q44" s="13">
        <v>30657</v>
      </c>
      <c r="R44" s="13">
        <v>24100</v>
      </c>
      <c r="S44" s="13">
        <v>21362</v>
      </c>
    </row>
    <row r="45" spans="1:19" x14ac:dyDescent="0.25">
      <c r="A45">
        <v>2028</v>
      </c>
      <c r="B45" t="s">
        <v>25</v>
      </c>
      <c r="C45">
        <v>545</v>
      </c>
      <c r="D45">
        <v>810</v>
      </c>
      <c r="E45">
        <v>448</v>
      </c>
      <c r="F45">
        <v>614</v>
      </c>
      <c r="G45" s="1">
        <v>0.37</v>
      </c>
      <c r="H45" s="1">
        <v>0.74</v>
      </c>
      <c r="I45" s="1">
        <v>0.7</v>
      </c>
      <c r="J45">
        <v>25985</v>
      </c>
      <c r="K45">
        <v>23203</v>
      </c>
      <c r="L45">
        <v>42870</v>
      </c>
      <c r="M45">
        <v>15941</v>
      </c>
      <c r="N45">
        <v>43634</v>
      </c>
      <c r="O45" s="13">
        <v>31457</v>
      </c>
      <c r="P45" s="13">
        <v>33218</v>
      </c>
      <c r="Q45" s="13">
        <v>25576</v>
      </c>
      <c r="R45" s="13">
        <v>21308</v>
      </c>
      <c r="S45" s="13">
        <v>22980</v>
      </c>
    </row>
    <row r="46" spans="1:19" x14ac:dyDescent="0.25">
      <c r="A46">
        <v>2028</v>
      </c>
      <c r="B46" t="s">
        <v>26</v>
      </c>
      <c r="C46">
        <v>990</v>
      </c>
      <c r="D46">
        <v>640</v>
      </c>
      <c r="E46">
        <v>571</v>
      </c>
      <c r="F46">
        <v>735</v>
      </c>
      <c r="G46" s="1">
        <v>0.51</v>
      </c>
      <c r="H46" s="1">
        <v>0.83</v>
      </c>
      <c r="I46" s="1">
        <v>0.79</v>
      </c>
      <c r="J46">
        <v>20453</v>
      </c>
      <c r="K46">
        <v>29364</v>
      </c>
      <c r="L46">
        <v>23492</v>
      </c>
      <c r="M46">
        <v>42450</v>
      </c>
      <c r="N46">
        <v>44096</v>
      </c>
      <c r="O46" s="13">
        <v>33817</v>
      </c>
      <c r="P46" s="13">
        <v>28466</v>
      </c>
      <c r="Q46" s="13">
        <v>22201</v>
      </c>
      <c r="R46" s="13">
        <v>23555</v>
      </c>
      <c r="S46" s="13">
        <v>27290</v>
      </c>
    </row>
    <row r="47" spans="1:19" x14ac:dyDescent="0.25">
      <c r="A47">
        <v>2028</v>
      </c>
      <c r="B47" t="s">
        <v>27</v>
      </c>
      <c r="C47">
        <v>1135</v>
      </c>
      <c r="D47">
        <v>500</v>
      </c>
      <c r="E47">
        <v>732</v>
      </c>
      <c r="F47">
        <v>786</v>
      </c>
      <c r="G47" s="1">
        <v>0.6</v>
      </c>
      <c r="H47" s="1">
        <v>0.9</v>
      </c>
      <c r="I47" s="1">
        <v>0.85</v>
      </c>
      <c r="J47">
        <v>17731</v>
      </c>
      <c r="K47">
        <v>17598</v>
      </c>
      <c r="L47">
        <v>19320</v>
      </c>
      <c r="M47">
        <v>42808</v>
      </c>
      <c r="N47">
        <v>30991</v>
      </c>
      <c r="O47" s="13">
        <v>32712</v>
      </c>
      <c r="P47" s="13">
        <v>24409</v>
      </c>
      <c r="Q47" s="13">
        <v>22638</v>
      </c>
      <c r="R47" s="13">
        <v>28589</v>
      </c>
      <c r="S47" s="13">
        <v>30948</v>
      </c>
    </row>
    <row r="48" spans="1:19" x14ac:dyDescent="0.25">
      <c r="A48">
        <v>2028</v>
      </c>
      <c r="B48" t="s">
        <v>28</v>
      </c>
      <c r="C48">
        <v>1080</v>
      </c>
      <c r="D48">
        <v>620</v>
      </c>
      <c r="E48">
        <v>843</v>
      </c>
      <c r="F48">
        <v>687</v>
      </c>
      <c r="G48" s="1">
        <v>0.71</v>
      </c>
      <c r="H48" s="1">
        <v>0.93</v>
      </c>
      <c r="I48" s="1">
        <v>0.88</v>
      </c>
      <c r="J48">
        <v>19530</v>
      </c>
      <c r="K48">
        <v>25494</v>
      </c>
      <c r="L48">
        <v>12112</v>
      </c>
      <c r="M48">
        <v>30735</v>
      </c>
      <c r="N48">
        <v>25132</v>
      </c>
      <c r="O48" s="13">
        <v>29042</v>
      </c>
      <c r="P48" s="13">
        <v>22690</v>
      </c>
      <c r="Q48" s="13">
        <v>26811</v>
      </c>
      <c r="R48" s="13">
        <v>33279</v>
      </c>
      <c r="S48" s="13">
        <v>31363</v>
      </c>
    </row>
    <row r="49" spans="1:19" x14ac:dyDescent="0.25">
      <c r="A49">
        <v>2028</v>
      </c>
      <c r="B49" t="s">
        <v>29</v>
      </c>
      <c r="C49">
        <v>955</v>
      </c>
      <c r="D49">
        <v>800</v>
      </c>
      <c r="E49">
        <v>811</v>
      </c>
      <c r="F49">
        <v>626</v>
      </c>
      <c r="G49" s="1">
        <v>0.8</v>
      </c>
      <c r="H49" s="1">
        <v>0.94</v>
      </c>
      <c r="I49" s="1">
        <v>0.92</v>
      </c>
      <c r="J49">
        <v>24764</v>
      </c>
      <c r="K49">
        <v>40644</v>
      </c>
      <c r="L49">
        <v>16320</v>
      </c>
      <c r="M49">
        <v>25765</v>
      </c>
      <c r="N49">
        <v>25654</v>
      </c>
      <c r="O49" s="13">
        <v>25116</v>
      </c>
      <c r="P49" s="13">
        <v>24833</v>
      </c>
      <c r="Q49" s="13">
        <v>31993</v>
      </c>
      <c r="R49" s="13">
        <v>35147</v>
      </c>
      <c r="S49" s="13">
        <v>28493</v>
      </c>
    </row>
    <row r="50" spans="1:19" x14ac:dyDescent="0.25">
      <c r="A50">
        <v>2028</v>
      </c>
      <c r="B50" t="s">
        <v>30</v>
      </c>
      <c r="C50">
        <v>930</v>
      </c>
      <c r="D50">
        <v>950</v>
      </c>
      <c r="E50">
        <v>590</v>
      </c>
      <c r="F50">
        <v>675</v>
      </c>
      <c r="G50" s="1">
        <v>0.87</v>
      </c>
      <c r="H50" s="1">
        <v>0.95</v>
      </c>
      <c r="I50" s="1">
        <v>0.95</v>
      </c>
      <c r="J50">
        <v>30878</v>
      </c>
      <c r="K50">
        <v>34100</v>
      </c>
      <c r="L50">
        <v>36333</v>
      </c>
      <c r="M50">
        <v>34094</v>
      </c>
      <c r="N50">
        <v>37559</v>
      </c>
      <c r="O50" s="13">
        <v>23325</v>
      </c>
      <c r="P50" s="13">
        <v>29676</v>
      </c>
      <c r="Q50" s="13">
        <v>35309</v>
      </c>
      <c r="R50" s="13">
        <v>33641</v>
      </c>
      <c r="S50" s="13">
        <v>24033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RowColHeaders="0" topLeftCell="A7" zoomScale="60" zoomScaleNormal="60" workbookViewId="0">
      <selection activeCell="B7" sqref="B7"/>
    </sheetView>
  </sheetViews>
  <sheetFormatPr defaultRowHeight="15" x14ac:dyDescent="0.25"/>
  <cols>
    <col min="1" max="16384" width="9.140625" style="2"/>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Views>
    <sheetView topLeftCell="F1" zoomScaleNormal="100" workbookViewId="0">
      <selection activeCell="I1" sqref="I1"/>
    </sheetView>
  </sheetViews>
  <sheetFormatPr defaultRowHeight="15" x14ac:dyDescent="0.25"/>
  <cols>
    <col min="1" max="1" width="16.85546875" style="3" bestFit="1" customWidth="1"/>
    <col min="2" max="2" width="18.28515625" style="3" bestFit="1" customWidth="1"/>
    <col min="3" max="3" width="20" style="3" bestFit="1" customWidth="1"/>
    <col min="4" max="4" width="13.42578125" style="3" bestFit="1" customWidth="1"/>
    <col min="5" max="5" width="14.28515625" style="3" bestFit="1" customWidth="1"/>
    <col min="6" max="6" width="9.140625" style="3"/>
    <col min="7" max="7" width="11.7109375" style="3" bestFit="1" customWidth="1"/>
    <col min="8" max="8" width="14.5703125" style="3" bestFit="1" customWidth="1"/>
    <col min="9" max="9" width="16.28515625" style="3" bestFit="1" customWidth="1"/>
    <col min="10" max="10" width="9.140625" style="8"/>
    <col min="11" max="11" width="12" style="3" bestFit="1" customWidth="1"/>
    <col min="12" max="12" width="15.28515625" style="3" bestFit="1" customWidth="1"/>
    <col min="13" max="13" width="9.140625" style="3"/>
    <col min="14" max="14" width="14.85546875" style="3" bestFit="1" customWidth="1"/>
    <col min="15" max="15" width="9.140625" style="3"/>
    <col min="16" max="16" width="12.85546875" style="3" bestFit="1" customWidth="1"/>
    <col min="17" max="16384" width="9.140625" style="3"/>
  </cols>
  <sheetData>
    <row r="1" spans="1:24" x14ac:dyDescent="0.25">
      <c r="A1" s="3" t="s">
        <v>31</v>
      </c>
      <c r="B1" s="9" t="s">
        <v>3</v>
      </c>
      <c r="C1" s="9" t="s">
        <v>4</v>
      </c>
      <c r="D1" s="3" t="s">
        <v>37</v>
      </c>
      <c r="E1" s="3" t="s">
        <v>38</v>
      </c>
      <c r="G1" s="9" t="s">
        <v>5</v>
      </c>
      <c r="H1" s="9" t="s">
        <v>6</v>
      </c>
      <c r="I1" s="3" t="s">
        <v>40</v>
      </c>
      <c r="J1" s="8" t="s">
        <v>39</v>
      </c>
      <c r="K1" s="3" t="s">
        <v>43</v>
      </c>
      <c r="L1" s="3" t="s">
        <v>44</v>
      </c>
      <c r="M1" s="3" t="s">
        <v>45</v>
      </c>
      <c r="N1" s="3" t="s">
        <v>46</v>
      </c>
      <c r="P1" s="6" t="s">
        <v>52</v>
      </c>
      <c r="Q1" s="3" t="s">
        <v>58</v>
      </c>
      <c r="R1" s="3" t="s">
        <v>69</v>
      </c>
      <c r="T1" s="3">
        <v>72</v>
      </c>
      <c r="U1" s="3">
        <v>72</v>
      </c>
      <c r="V1" s="3">
        <v>72</v>
      </c>
      <c r="W1" s="3">
        <v>72</v>
      </c>
      <c r="X1" s="3">
        <v>72</v>
      </c>
    </row>
    <row r="2" spans="1:24" x14ac:dyDescent="0.25">
      <c r="A2" s="3" t="s">
        <v>19</v>
      </c>
      <c r="B2" s="3">
        <f>GETPIVOTDATA(""&amp;$B$1,Control!$A$17,"Month",""&amp;A2)</f>
        <v>694</v>
      </c>
      <c r="C2" s="3">
        <f>GETPIVOTDATA(""&amp;$C$1,Control!$A$17,"Month",""&amp;A2)</f>
        <v>792</v>
      </c>
      <c r="D2" s="3">
        <f>IFERROR(GETPIVOTDATA(""&amp;$B$1,Control!$A$2,"Month",""&amp;A2),NA())</f>
        <v>694</v>
      </c>
      <c r="E2" s="3">
        <f>IFERROR(GETPIVOTDATA(""&amp;$C$1,Control!$A$2,"Month",""&amp;A2),NA())</f>
        <v>792</v>
      </c>
      <c r="G2" s="3">
        <f>GETPIVOTDATA(""&amp;$G$1,Control!$A$17,"Month",""&amp;$I2)</f>
        <v>654</v>
      </c>
      <c r="H2" s="3">
        <f>GETPIVOTDATA(""&amp;$H$1,Control!$A$17,"Month",""&amp;$I2)</f>
        <v>937</v>
      </c>
      <c r="I2" s="3" t="s">
        <v>19</v>
      </c>
      <c r="J2" s="8">
        <f>G2+H2</f>
        <v>1591</v>
      </c>
      <c r="K2" s="3">
        <f>IF(ISNA(D2),NA(),G2)</f>
        <v>654</v>
      </c>
      <c r="L2" s="3">
        <f>IF(ISNA(E2),NA(),H2)</f>
        <v>937</v>
      </c>
      <c r="M2" s="3">
        <f>MAX($G$2:$H$13)*$M$14</f>
        <v>41.6</v>
      </c>
      <c r="N2" s="3">
        <f>IF(ISNA(E2),NA(),M2)</f>
        <v>41.6</v>
      </c>
      <c r="P2" s="6" t="s">
        <v>53</v>
      </c>
      <c r="Q2" s="3">
        <f>GETPIVOTDATA(LEFT(Q$1,1)&amp;" "&amp;$P2,Control!$A$2)</f>
        <v>422434</v>
      </c>
      <c r="R2" s="3">
        <f>GETPIVOTDATA(LEFT(R$1,1)&amp;" "&amp;$P2,Control!$A$2)</f>
        <v>380379</v>
      </c>
      <c r="T2" s="3">
        <v>72</v>
      </c>
      <c r="U2" s="3">
        <v>72</v>
      </c>
      <c r="V2" s="3">
        <v>72</v>
      </c>
      <c r="W2" s="3">
        <v>72</v>
      </c>
      <c r="X2" s="3">
        <v>72</v>
      </c>
    </row>
    <row r="3" spans="1:24" x14ac:dyDescent="0.25">
      <c r="A3" s="3" t="s">
        <v>20</v>
      </c>
      <c r="B3" s="3">
        <f>GETPIVOTDATA(""&amp;$B$1,Control!$A$17,"Month",""&amp;A3)</f>
        <v>1085</v>
      </c>
      <c r="C3" s="3">
        <f>GETPIVOTDATA(""&amp;$C$1,Control!$A$17,"Month",""&amp;A3)</f>
        <v>753</v>
      </c>
      <c r="D3" s="3">
        <f>IFERROR(GETPIVOTDATA(""&amp;$B$1,Control!$A$2,"Month",""&amp;A3),NA())</f>
        <v>1085</v>
      </c>
      <c r="E3" s="3">
        <f>IFERROR(GETPIVOTDATA(""&amp;$C$1,Control!$A$2,"Month",""&amp;A3),NA())</f>
        <v>753</v>
      </c>
      <c r="G3" s="3">
        <f>GETPIVOTDATA(""&amp;$G$1,Control!$A$17,"Month",""&amp;$I3)</f>
        <v>756</v>
      </c>
      <c r="H3" s="3">
        <f>GETPIVOTDATA(""&amp;$H$1,Control!$A$17,"Month",""&amp;$I3)</f>
        <v>657</v>
      </c>
      <c r="I3" s="3" t="s">
        <v>20</v>
      </c>
      <c r="J3" s="8">
        <f t="shared" ref="J3:J13" si="0">G3+H3</f>
        <v>1413</v>
      </c>
      <c r="K3" s="3">
        <f t="shared" ref="K3:K13" si="1">IF(ISNA(D3),NA(),G3)</f>
        <v>756</v>
      </c>
      <c r="L3" s="3">
        <f t="shared" ref="L3:L13" si="2">IF(ISNA(E3),NA(),H3)</f>
        <v>657</v>
      </c>
      <c r="M3" s="3">
        <f t="shared" ref="M3:M13" si="3">MAX($G$2:$H$13)*$M$14</f>
        <v>41.6</v>
      </c>
      <c r="N3" s="3">
        <f t="shared" ref="N3:N12" si="4">IF(ISNA(E3),NA(),M3)</f>
        <v>41.6</v>
      </c>
      <c r="P3" s="6" t="s">
        <v>54</v>
      </c>
      <c r="Q3" s="3">
        <f>GETPIVOTDATA(LEFT(Q$1,1)&amp;" "&amp;$P3,Control!$A$2)</f>
        <v>378765</v>
      </c>
      <c r="R3" s="3">
        <f>GETPIVOTDATA(LEFT(R$1,1)&amp;" "&amp;$P3,Control!$A$2)</f>
        <v>338012</v>
      </c>
      <c r="T3" s="3">
        <v>72</v>
      </c>
      <c r="U3" s="3">
        <v>72</v>
      </c>
      <c r="V3" s="3">
        <v>72</v>
      </c>
      <c r="W3" s="3">
        <v>72</v>
      </c>
      <c r="X3" s="3">
        <v>72</v>
      </c>
    </row>
    <row r="4" spans="1:24" x14ac:dyDescent="0.25">
      <c r="A4" s="3" t="s">
        <v>21</v>
      </c>
      <c r="B4" s="3">
        <f>GETPIVOTDATA(""&amp;$B$1,Control!$A$17,"Month",""&amp;A4)</f>
        <v>1034</v>
      </c>
      <c r="C4" s="3">
        <f>GETPIVOTDATA(""&amp;$C$1,Control!$A$17,"Month",""&amp;A4)</f>
        <v>712</v>
      </c>
      <c r="D4" s="3">
        <f>IFERROR(GETPIVOTDATA(""&amp;$B$1,Control!$A$2,"Month",""&amp;A4),NA())</f>
        <v>1034</v>
      </c>
      <c r="E4" s="3">
        <f>IFERROR(GETPIVOTDATA(""&amp;$C$1,Control!$A$2,"Month",""&amp;A4),NA())</f>
        <v>712</v>
      </c>
      <c r="G4" s="3">
        <f>GETPIVOTDATA(""&amp;$G$1,Control!$A$17,"Month",""&amp;$I4)</f>
        <v>885</v>
      </c>
      <c r="H4" s="3">
        <f>GETPIVOTDATA(""&amp;$H$1,Control!$A$17,"Month",""&amp;$I4)</f>
        <v>861</v>
      </c>
      <c r="I4" s="3" t="s">
        <v>21</v>
      </c>
      <c r="J4" s="8">
        <f t="shared" si="0"/>
        <v>1746</v>
      </c>
      <c r="K4" s="3">
        <f t="shared" si="1"/>
        <v>885</v>
      </c>
      <c r="L4" s="3">
        <f t="shared" si="2"/>
        <v>861</v>
      </c>
      <c r="M4" s="3">
        <f t="shared" si="3"/>
        <v>41.6</v>
      </c>
      <c r="N4" s="3">
        <f t="shared" si="4"/>
        <v>41.6</v>
      </c>
      <c r="P4" s="6" t="s">
        <v>55</v>
      </c>
      <c r="Q4" s="3">
        <f>GETPIVOTDATA(LEFT(Q$1,1)&amp;" "&amp;$P4,Control!$A$2)</f>
        <v>282302</v>
      </c>
      <c r="R4" s="3">
        <f>GETPIVOTDATA(LEFT(R$1,1)&amp;" "&amp;$P4,Control!$A$2)</f>
        <v>373511</v>
      </c>
    </row>
    <row r="5" spans="1:24" x14ac:dyDescent="0.25">
      <c r="A5" s="3" t="s">
        <v>22</v>
      </c>
      <c r="B5" s="3">
        <f>GETPIVOTDATA(""&amp;$B$1,Control!$A$17,"Month",""&amp;A5)</f>
        <v>812</v>
      </c>
      <c r="C5" s="3">
        <f>GETPIVOTDATA(""&amp;$C$1,Control!$A$17,"Month",""&amp;A5)</f>
        <v>849</v>
      </c>
      <c r="D5" s="3">
        <f>IFERROR(GETPIVOTDATA(""&amp;$B$1,Control!$A$2,"Month",""&amp;A5),NA())</f>
        <v>812</v>
      </c>
      <c r="E5" s="3">
        <f>IFERROR(GETPIVOTDATA(""&amp;$C$1,Control!$A$2,"Month",""&amp;A5),NA())</f>
        <v>849</v>
      </c>
      <c r="G5" s="3">
        <f>GETPIVOTDATA(""&amp;$G$1,Control!$A$17,"Month",""&amp;$I5)</f>
        <v>835</v>
      </c>
      <c r="H5" s="3">
        <f>GETPIVOTDATA(""&amp;$H$1,Control!$A$17,"Month",""&amp;$I5)</f>
        <v>611</v>
      </c>
      <c r="I5" s="3" t="s">
        <v>22</v>
      </c>
      <c r="J5" s="8">
        <f t="shared" si="0"/>
        <v>1446</v>
      </c>
      <c r="K5" s="3">
        <f t="shared" si="1"/>
        <v>835</v>
      </c>
      <c r="L5" s="3">
        <f t="shared" si="2"/>
        <v>611</v>
      </c>
      <c r="M5" s="3">
        <f t="shared" si="3"/>
        <v>41.6</v>
      </c>
      <c r="N5" s="3">
        <f t="shared" si="4"/>
        <v>41.6</v>
      </c>
      <c r="P5" s="6" t="s">
        <v>56</v>
      </c>
      <c r="Q5" s="3">
        <f>GETPIVOTDATA(LEFT(Q$1,1)&amp;" "&amp;$P5,Control!$A$2)</f>
        <v>328249</v>
      </c>
      <c r="R5" s="3">
        <f>GETPIVOTDATA(LEFT(R$1,1)&amp;" "&amp;$P5,Control!$A$2)</f>
        <v>337292</v>
      </c>
    </row>
    <row r="6" spans="1:24" x14ac:dyDescent="0.25">
      <c r="A6" s="3" t="s">
        <v>23</v>
      </c>
      <c r="B6" s="3">
        <f>GETPIVOTDATA(""&amp;$B$1,Control!$A$17,"Month",""&amp;A6)</f>
        <v>663</v>
      </c>
      <c r="C6" s="3">
        <f>GETPIVOTDATA(""&amp;$C$1,Control!$A$17,"Month",""&amp;A6)</f>
        <v>978</v>
      </c>
      <c r="D6" s="3">
        <f>IFERROR(GETPIVOTDATA(""&amp;$B$1,Control!$A$2,"Month",""&amp;A6),NA())</f>
        <v>663</v>
      </c>
      <c r="E6" s="3">
        <f>IFERROR(GETPIVOTDATA(""&amp;$C$1,Control!$A$2,"Month",""&amp;A6),NA())</f>
        <v>978</v>
      </c>
      <c r="G6" s="3">
        <f>GETPIVOTDATA(""&amp;$G$1,Control!$A$17,"Month",""&amp;$I6)</f>
        <v>853</v>
      </c>
      <c r="H6" s="3">
        <f>GETPIVOTDATA(""&amp;$H$1,Control!$A$17,"Month",""&amp;$I6)</f>
        <v>641</v>
      </c>
      <c r="I6" s="3" t="s">
        <v>23</v>
      </c>
      <c r="J6" s="8">
        <f t="shared" si="0"/>
        <v>1494</v>
      </c>
      <c r="K6" s="3">
        <f t="shared" si="1"/>
        <v>853</v>
      </c>
      <c r="L6" s="3">
        <f t="shared" si="2"/>
        <v>641</v>
      </c>
      <c r="M6" s="3">
        <f t="shared" si="3"/>
        <v>41.6</v>
      </c>
      <c r="N6" s="3">
        <f t="shared" si="4"/>
        <v>41.6</v>
      </c>
      <c r="P6" s="6" t="s">
        <v>57</v>
      </c>
      <c r="Q6" s="3">
        <f>GETPIVOTDATA(LEFT(Q$1,1)&amp;" "&amp;$P6,Control!$A$2)</f>
        <v>422676</v>
      </c>
      <c r="R6" s="3">
        <f>GETPIVOTDATA(LEFT(R$1,1)&amp;" "&amp;$P6,Control!$A$2)</f>
        <v>366652</v>
      </c>
    </row>
    <row r="7" spans="1:24" x14ac:dyDescent="0.25">
      <c r="A7" s="3" t="s">
        <v>24</v>
      </c>
      <c r="B7" s="3">
        <f>GETPIVOTDATA(""&amp;$B$1,Control!$A$17,"Month",""&amp;A7)</f>
        <v>837</v>
      </c>
      <c r="C7" s="3">
        <f>GETPIVOTDATA(""&amp;$C$1,Control!$A$17,"Month",""&amp;A7)</f>
        <v>603</v>
      </c>
      <c r="D7" s="3">
        <f>IFERROR(GETPIVOTDATA(""&amp;$B$1,Control!$A$2,"Month",""&amp;A7),NA())</f>
        <v>837</v>
      </c>
      <c r="E7" s="3">
        <f>IFERROR(GETPIVOTDATA(""&amp;$C$1,Control!$A$2,"Month",""&amp;A7),NA())</f>
        <v>603</v>
      </c>
      <c r="G7" s="3">
        <f>GETPIVOTDATA(""&amp;$G$1,Control!$A$17,"Month",""&amp;$I7)</f>
        <v>615</v>
      </c>
      <c r="H7" s="3">
        <f>GETPIVOTDATA(""&amp;$H$1,Control!$A$17,"Month",""&amp;$I7)</f>
        <v>747</v>
      </c>
      <c r="I7" s="3" t="s">
        <v>24</v>
      </c>
      <c r="J7" s="8">
        <f t="shared" si="0"/>
        <v>1362</v>
      </c>
      <c r="K7" s="3">
        <f t="shared" si="1"/>
        <v>615</v>
      </c>
      <c r="L7" s="3">
        <f t="shared" si="2"/>
        <v>747</v>
      </c>
      <c r="M7" s="3">
        <f t="shared" si="3"/>
        <v>41.6</v>
      </c>
      <c r="N7" s="3">
        <f t="shared" si="4"/>
        <v>41.6</v>
      </c>
    </row>
    <row r="8" spans="1:24" x14ac:dyDescent="0.25">
      <c r="A8" s="3" t="s">
        <v>25</v>
      </c>
      <c r="B8" s="3">
        <f>GETPIVOTDATA(""&amp;$B$1,Control!$A$17,"Month",""&amp;A8)</f>
        <v>885</v>
      </c>
      <c r="C8" s="3">
        <f>GETPIVOTDATA(""&amp;$C$1,Control!$A$17,"Month",""&amp;A8)</f>
        <v>642</v>
      </c>
      <c r="D8" s="3">
        <f>IFERROR(GETPIVOTDATA(""&amp;$B$1,Control!$A$2,"Month",""&amp;A8),NA())</f>
        <v>885</v>
      </c>
      <c r="E8" s="3">
        <f>IFERROR(GETPIVOTDATA(""&amp;$C$1,Control!$A$2,"Month",""&amp;A8),NA())</f>
        <v>642</v>
      </c>
      <c r="G8" s="3">
        <f>GETPIVOTDATA(""&amp;$G$1,Control!$A$17,"Month",""&amp;$I8)</f>
        <v>671</v>
      </c>
      <c r="H8" s="3">
        <f>GETPIVOTDATA(""&amp;$H$1,Control!$A$17,"Month",""&amp;$I8)</f>
        <v>595</v>
      </c>
      <c r="I8" s="3" t="s">
        <v>25</v>
      </c>
      <c r="J8" s="8">
        <f t="shared" si="0"/>
        <v>1266</v>
      </c>
      <c r="K8" s="3">
        <f t="shared" si="1"/>
        <v>671</v>
      </c>
      <c r="L8" s="3">
        <f t="shared" si="2"/>
        <v>595</v>
      </c>
      <c r="M8" s="3">
        <f t="shared" si="3"/>
        <v>41.6</v>
      </c>
      <c r="N8" s="3">
        <f t="shared" si="4"/>
        <v>41.6</v>
      </c>
    </row>
    <row r="9" spans="1:24" x14ac:dyDescent="0.25">
      <c r="A9" s="3" t="s">
        <v>26</v>
      </c>
      <c r="B9" s="3">
        <f>GETPIVOTDATA(""&amp;$B$1,Control!$A$17,"Month",""&amp;A9)</f>
        <v>620</v>
      </c>
      <c r="C9" s="3">
        <f>GETPIVOTDATA(""&amp;$C$1,Control!$A$17,"Month",""&amp;A9)</f>
        <v>793</v>
      </c>
      <c r="D9" s="3">
        <f>IFERROR(GETPIVOTDATA(""&amp;$B$1,Control!$A$2,"Month",""&amp;A9),NA())</f>
        <v>620</v>
      </c>
      <c r="E9" s="3">
        <f>IFERROR(GETPIVOTDATA(""&amp;$C$1,Control!$A$2,"Month",""&amp;A9),NA())</f>
        <v>793</v>
      </c>
      <c r="G9" s="3">
        <f>GETPIVOTDATA(""&amp;$G$1,Control!$A$17,"Month",""&amp;$I9)</f>
        <v>835</v>
      </c>
      <c r="H9" s="3">
        <f>GETPIVOTDATA(""&amp;$H$1,Control!$A$17,"Month",""&amp;$I9)</f>
        <v>632</v>
      </c>
      <c r="I9" s="3" t="s">
        <v>26</v>
      </c>
      <c r="J9" s="8">
        <f t="shared" si="0"/>
        <v>1467</v>
      </c>
      <c r="K9" s="3">
        <f t="shared" si="1"/>
        <v>835</v>
      </c>
      <c r="L9" s="3">
        <f t="shared" si="2"/>
        <v>632</v>
      </c>
      <c r="M9" s="3">
        <f t="shared" si="3"/>
        <v>41.6</v>
      </c>
      <c r="N9" s="3">
        <f t="shared" si="4"/>
        <v>41.6</v>
      </c>
      <c r="S9" s="3" t="s">
        <v>50</v>
      </c>
      <c r="T9" s="3" t="s">
        <v>51</v>
      </c>
    </row>
    <row r="10" spans="1:24" x14ac:dyDescent="0.25">
      <c r="A10" s="3" t="s">
        <v>27</v>
      </c>
      <c r="B10" s="3">
        <f>GETPIVOTDATA(""&amp;$B$1,Control!$A$17,"Month",""&amp;A10)</f>
        <v>1057</v>
      </c>
      <c r="C10" s="3">
        <f>GETPIVOTDATA(""&amp;$C$1,Control!$A$17,"Month",""&amp;A10)</f>
        <v>776</v>
      </c>
      <c r="D10" s="3">
        <f>IFERROR(GETPIVOTDATA(""&amp;$B$1,Control!$A$2,"Month",""&amp;A10),NA())</f>
        <v>1057</v>
      </c>
      <c r="E10" s="3">
        <f>IFERROR(GETPIVOTDATA(""&amp;$C$1,Control!$A$2,"Month",""&amp;A10),NA())</f>
        <v>776</v>
      </c>
      <c r="G10" s="3">
        <f>GETPIVOTDATA(""&amp;$G$1,Control!$A$17,"Month",""&amp;$I10)</f>
        <v>562</v>
      </c>
      <c r="H10" s="3">
        <f>GETPIVOTDATA(""&amp;$H$1,Control!$A$17,"Month",""&amp;$I10)</f>
        <v>754</v>
      </c>
      <c r="I10" s="3" t="s">
        <v>27</v>
      </c>
      <c r="J10" s="8">
        <f t="shared" si="0"/>
        <v>1316</v>
      </c>
      <c r="K10" s="3">
        <f t="shared" si="1"/>
        <v>562</v>
      </c>
      <c r="L10" s="3">
        <f t="shared" si="2"/>
        <v>754</v>
      </c>
      <c r="M10" s="3">
        <f t="shared" si="3"/>
        <v>41.6</v>
      </c>
      <c r="N10" s="3">
        <f t="shared" si="4"/>
        <v>41.6</v>
      </c>
      <c r="S10" s="3">
        <v>0.95</v>
      </c>
      <c r="T10" s="3">
        <v>0.95</v>
      </c>
    </row>
    <row r="11" spans="1:24" x14ac:dyDescent="0.25">
      <c r="A11" s="3" t="s">
        <v>28</v>
      </c>
      <c r="B11" s="3">
        <f>GETPIVOTDATA(""&amp;$B$1,Control!$A$17,"Month",""&amp;A11)</f>
        <v>747</v>
      </c>
      <c r="C11" s="3">
        <f>GETPIVOTDATA(""&amp;$C$1,Control!$A$17,"Month",""&amp;A11)</f>
        <v>933</v>
      </c>
      <c r="D11" s="3">
        <f>IFERROR(GETPIVOTDATA(""&amp;$B$1,Control!$A$2,"Month",""&amp;A11),NA())</f>
        <v>747</v>
      </c>
      <c r="E11" s="3">
        <f>IFERROR(GETPIVOTDATA(""&amp;$C$1,Control!$A$2,"Month",""&amp;A11),NA())</f>
        <v>933</v>
      </c>
      <c r="G11" s="3">
        <f>GETPIVOTDATA(""&amp;$G$1,Control!$A$17,"Month",""&amp;$I11)</f>
        <v>1040</v>
      </c>
      <c r="H11" s="3">
        <f>GETPIVOTDATA(""&amp;$H$1,Control!$A$17,"Month",""&amp;$I11)</f>
        <v>745</v>
      </c>
      <c r="I11" s="3" t="s">
        <v>28</v>
      </c>
      <c r="J11" s="8">
        <f t="shared" si="0"/>
        <v>1785</v>
      </c>
      <c r="K11" s="3">
        <f t="shared" si="1"/>
        <v>1040</v>
      </c>
      <c r="L11" s="3">
        <f t="shared" si="2"/>
        <v>745</v>
      </c>
      <c r="M11" s="3">
        <f t="shared" si="3"/>
        <v>41.6</v>
      </c>
      <c r="N11" s="3">
        <f t="shared" si="4"/>
        <v>41.6</v>
      </c>
      <c r="P11" s="11" t="s">
        <v>7</v>
      </c>
      <c r="Q11" s="12">
        <f>GETPIVOTDATA(""&amp;P11,Control!$A$2)</f>
        <v>0.58333333333333326</v>
      </c>
      <c r="R11" s="10">
        <f>100%-Q11</f>
        <v>0.41666666666666674</v>
      </c>
      <c r="S11" s="3">
        <f>SIN((Q11+30/360)*2*PI())*$S$10</f>
        <v>-0.82272413359521646</v>
      </c>
      <c r="T11" s="3">
        <f>COS((R11-30/360)*2*PI())*$T$10</f>
        <v>-0.47500000000000053</v>
      </c>
    </row>
    <row r="12" spans="1:24" x14ac:dyDescent="0.25">
      <c r="A12" s="3" t="s">
        <v>29</v>
      </c>
      <c r="B12" s="3">
        <f>GETPIVOTDATA(""&amp;$B$1,Control!$A$17,"Month",""&amp;A12)</f>
        <v>768</v>
      </c>
      <c r="C12" s="3">
        <f>GETPIVOTDATA(""&amp;$C$1,Control!$A$17,"Month",""&amp;A12)</f>
        <v>964</v>
      </c>
      <c r="D12" s="3">
        <f>IFERROR(GETPIVOTDATA(""&amp;$B$1,Control!$A$2,"Month",""&amp;A12),NA())</f>
        <v>768</v>
      </c>
      <c r="E12" s="3">
        <f>IFERROR(GETPIVOTDATA(""&amp;$C$1,Control!$A$2,"Month",""&amp;A12),NA())</f>
        <v>964</v>
      </c>
      <c r="G12" s="3">
        <f>GETPIVOTDATA(""&amp;$G$1,Control!$A$17,"Month",""&amp;$I12)</f>
        <v>877</v>
      </c>
      <c r="H12" s="3">
        <f>GETPIVOTDATA(""&amp;$H$1,Control!$A$17,"Month",""&amp;$I12)</f>
        <v>657</v>
      </c>
      <c r="I12" s="3" t="s">
        <v>29</v>
      </c>
      <c r="J12" s="8">
        <f t="shared" si="0"/>
        <v>1534</v>
      </c>
      <c r="K12" s="3">
        <f t="shared" si="1"/>
        <v>877</v>
      </c>
      <c r="L12" s="3">
        <f t="shared" si="2"/>
        <v>657</v>
      </c>
      <c r="M12" s="3">
        <f t="shared" si="3"/>
        <v>41.6</v>
      </c>
      <c r="N12" s="3">
        <f t="shared" si="4"/>
        <v>41.6</v>
      </c>
      <c r="P12" s="11" t="s">
        <v>8</v>
      </c>
      <c r="Q12" s="12">
        <f>GETPIVOTDATA(""&amp;P12,Control!$A$2)</f>
        <v>0.59750000000000003</v>
      </c>
      <c r="R12" s="10">
        <f t="shared" ref="R12:R13" si="5">100%-Q12</f>
        <v>0.40249999999999997</v>
      </c>
      <c r="S12" s="3">
        <f t="shared" ref="S12:S13" si="6">SIN((Q12+30/360)*2*PI())*$S$10</f>
        <v>-0.86169181357689184</v>
      </c>
      <c r="T12" s="3">
        <f t="shared" ref="T12:T13" si="7">COS((R12-30/360)*2*PI())*$T$10</f>
        <v>-0.39998402269911643</v>
      </c>
    </row>
    <row r="13" spans="1:24" x14ac:dyDescent="0.25">
      <c r="A13" s="3" t="s">
        <v>30</v>
      </c>
      <c r="B13" s="3">
        <f>GETPIVOTDATA(""&amp;$B$1,Control!$A$17,"Month",""&amp;A13)</f>
        <v>750</v>
      </c>
      <c r="C13" s="3">
        <f>GETPIVOTDATA(""&amp;$C$1,Control!$A$17,"Month",""&amp;A13)</f>
        <v>818</v>
      </c>
      <c r="D13" s="3">
        <f>IFERROR(GETPIVOTDATA(""&amp;$B$1,Control!$A$2,"Month",""&amp;A13),NA())</f>
        <v>750</v>
      </c>
      <c r="E13" s="3">
        <f>IFERROR(GETPIVOTDATA(""&amp;$C$1,Control!$A$2,"Month",""&amp;A13),NA())</f>
        <v>818</v>
      </c>
      <c r="G13" s="3">
        <f>GETPIVOTDATA(""&amp;$G$1,Control!$A$17,"Month",""&amp;$I13)</f>
        <v>905</v>
      </c>
      <c r="H13" s="3">
        <f>GETPIVOTDATA(""&amp;$H$1,Control!$A$17,"Month",""&amp;$I13)</f>
        <v>953</v>
      </c>
      <c r="I13" s="3" t="s">
        <v>30</v>
      </c>
      <c r="J13" s="8">
        <f t="shared" si="0"/>
        <v>1858</v>
      </c>
      <c r="K13" s="3">
        <f t="shared" si="1"/>
        <v>905</v>
      </c>
      <c r="L13" s="3">
        <f t="shared" si="2"/>
        <v>953</v>
      </c>
      <c r="M13" s="3">
        <f t="shared" si="3"/>
        <v>41.6</v>
      </c>
      <c r="N13" s="3">
        <f>IF(ISNA(E13),NA(),M13)</f>
        <v>41.6</v>
      </c>
      <c r="P13" s="11" t="s">
        <v>9</v>
      </c>
      <c r="Q13" s="12">
        <f>GETPIVOTDATA(""&amp;P13,Control!$A$2)</f>
        <v>0.62083333333333335</v>
      </c>
      <c r="R13" s="10">
        <f t="shared" si="5"/>
        <v>0.37916666666666665</v>
      </c>
      <c r="S13" s="3">
        <f t="shared" si="6"/>
        <v>-0.91087874812478331</v>
      </c>
      <c r="T13" s="3">
        <f t="shared" si="7"/>
        <v>-0.2698145774687265</v>
      </c>
    </row>
    <row r="14" spans="1:24" x14ac:dyDescent="0.25">
      <c r="C14" s="3" t="s">
        <v>39</v>
      </c>
      <c r="D14" s="7">
        <f>GETPIVOTDATA(""&amp;$B$1,Control!$A$2)</f>
        <v>9952</v>
      </c>
      <c r="E14" s="3">
        <f>GETPIVOTDATA(""&amp;$C$1,Control!$A$2)</f>
        <v>9613</v>
      </c>
      <c r="K14" s="3">
        <f t="array" ref="K14">SUMPRODUCT(IFERROR(K2:K13,0))</f>
        <v>9488</v>
      </c>
      <c r="L14" s="3">
        <f t="array" ref="L14">SUMPRODUCT(IFERROR(L2:L13,0))</f>
        <v>8790</v>
      </c>
      <c r="M14" s="10">
        <v>0.04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RowColHeaders="0" topLeftCell="A7" zoomScale="60" zoomScaleNormal="60" workbookViewId="0">
      <selection activeCell="B7" sqref="B7"/>
    </sheetView>
  </sheetViews>
  <sheetFormatPr defaultRowHeight="15" x14ac:dyDescent="0.25"/>
  <cols>
    <col min="1" max="16384" width="9.140625" style="2"/>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RowColHeaders="0" topLeftCell="A7" zoomScale="60" zoomScaleNormal="60" workbookViewId="0">
      <selection activeCell="B7" sqref="B7"/>
    </sheetView>
  </sheetViews>
  <sheetFormatPr defaultRowHeight="15" x14ac:dyDescent="0.25"/>
  <cols>
    <col min="1" max="16384" width="9.140625" style="1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RowColHeaders="0" tabSelected="1" topLeftCell="A7" zoomScale="60" zoomScaleNormal="60" workbookViewId="0">
      <selection activeCell="AH33" sqref="AH33"/>
    </sheetView>
  </sheetViews>
  <sheetFormatPr defaultRowHeight="15" x14ac:dyDescent="0.25"/>
  <cols>
    <col min="1" max="16384" width="9.140625" style="1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Q23" sqref="Q23"/>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Views>
    <sheetView zoomScaleNormal="100" workbookViewId="0">
      <selection activeCell="G7" sqref="G7"/>
    </sheetView>
  </sheetViews>
  <sheetFormatPr defaultRowHeight="15" x14ac:dyDescent="0.25"/>
  <cols>
    <col min="1" max="1" width="16.85546875" style="3" bestFit="1" customWidth="1"/>
    <col min="2" max="2" width="18.28515625" style="3" bestFit="1" customWidth="1"/>
    <col min="3" max="3" width="20" style="3" bestFit="1" customWidth="1"/>
    <col min="4" max="4" width="13.42578125" style="3" bestFit="1" customWidth="1"/>
    <col min="5" max="5" width="14.28515625" style="3" bestFit="1" customWidth="1"/>
    <col min="6" max="6" width="9.140625" style="3"/>
    <col min="7" max="7" width="11.7109375" style="3" bestFit="1" customWidth="1"/>
    <col min="8" max="8" width="14.5703125" style="3" bestFit="1" customWidth="1"/>
    <col min="9" max="9" width="16.28515625" style="3" bestFit="1" customWidth="1"/>
    <col min="10" max="10" width="9.140625" style="8"/>
    <col min="11" max="11" width="12" style="3" bestFit="1" customWidth="1"/>
    <col min="12" max="12" width="15.28515625" style="3" bestFit="1" customWidth="1"/>
    <col min="13" max="13" width="9.140625" style="3"/>
    <col min="14" max="14" width="14.85546875" style="3" bestFit="1" customWidth="1"/>
    <col min="15" max="15" width="9.140625" style="3"/>
    <col min="16" max="16" width="12.85546875" style="3" bestFit="1" customWidth="1"/>
    <col min="17" max="16384" width="9.140625" style="3"/>
  </cols>
  <sheetData>
    <row r="1" spans="1:24" x14ac:dyDescent="0.25">
      <c r="A1" s="3" t="s">
        <v>31</v>
      </c>
      <c r="B1" s="9" t="s">
        <v>3</v>
      </c>
      <c r="C1" s="9" t="s">
        <v>4</v>
      </c>
      <c r="D1" s="3" t="s">
        <v>37</v>
      </c>
      <c r="E1" s="3" t="s">
        <v>38</v>
      </c>
      <c r="G1" s="9" t="s">
        <v>5</v>
      </c>
      <c r="H1" s="9" t="s">
        <v>6</v>
      </c>
      <c r="I1" s="3" t="s">
        <v>40</v>
      </c>
      <c r="J1" s="8" t="s">
        <v>39</v>
      </c>
      <c r="K1" s="3" t="s">
        <v>43</v>
      </c>
      <c r="L1" s="3" t="s">
        <v>44</v>
      </c>
      <c r="M1" s="3" t="s">
        <v>45</v>
      </c>
      <c r="N1" s="3" t="s">
        <v>46</v>
      </c>
      <c r="P1" s="6" t="s">
        <v>52</v>
      </c>
      <c r="Q1" s="3" t="s">
        <v>58</v>
      </c>
      <c r="R1" s="3" t="s">
        <v>69</v>
      </c>
      <c r="T1" s="3">
        <v>72</v>
      </c>
      <c r="U1" s="3">
        <v>72</v>
      </c>
      <c r="V1" s="3">
        <v>72</v>
      </c>
      <c r="W1" s="3">
        <v>72</v>
      </c>
      <c r="X1" s="3">
        <v>72</v>
      </c>
    </row>
    <row r="2" spans="1:24" x14ac:dyDescent="0.25">
      <c r="A2" s="3" t="s">
        <v>19</v>
      </c>
      <c r="B2" s="3">
        <f>GETPIVOTDATA(""&amp;$B$1,Control!$A$17,"Month",""&amp;A2)</f>
        <v>694</v>
      </c>
      <c r="C2" s="3">
        <f>GETPIVOTDATA(""&amp;$C$1,Control!$A$17,"Month",""&amp;A2)</f>
        <v>792</v>
      </c>
      <c r="D2" s="3">
        <f>IFERROR(GETPIVOTDATA(""&amp;$B$1,Control!$A$2,"Month",""&amp;A2),NA())</f>
        <v>694</v>
      </c>
      <c r="E2" s="3">
        <f>IFERROR(GETPIVOTDATA(""&amp;$C$1,Control!$A$2,"Month",""&amp;A2),NA())</f>
        <v>792</v>
      </c>
      <c r="G2" s="3">
        <f>GETPIVOTDATA(""&amp;$G$1,Control!$A$17,"Month",""&amp;$I2)</f>
        <v>654</v>
      </c>
      <c r="H2" s="3">
        <f>GETPIVOTDATA(""&amp;$H$1,Control!$A$17,"Month",""&amp;$I2)</f>
        <v>937</v>
      </c>
      <c r="I2" s="3" t="s">
        <v>19</v>
      </c>
      <c r="J2" s="8">
        <f>G2+H2</f>
        <v>1591</v>
      </c>
      <c r="K2" s="3">
        <f>IF(ISNA(D2),NA(),G2)</f>
        <v>654</v>
      </c>
      <c r="L2" s="3">
        <f>IF(ISNA(E2),NA(),H2)</f>
        <v>937</v>
      </c>
      <c r="M2" s="3">
        <f>MAX($G$2:$H$13)*$M$14</f>
        <v>41.6</v>
      </c>
      <c r="N2" s="3">
        <f>IF(ISNA(E2),NA(),M2)</f>
        <v>41.6</v>
      </c>
      <c r="P2" s="6" t="s">
        <v>53</v>
      </c>
      <c r="Q2" s="3">
        <f>GETPIVOTDATA(LEFT(Q$1,1)&amp;" "&amp;$P2,Control!$A$2)</f>
        <v>422434</v>
      </c>
      <c r="R2" s="3">
        <f>GETPIVOTDATA(LEFT(R$1,1)&amp;" "&amp;$P2,Control!$A$2)</f>
        <v>380379</v>
      </c>
      <c r="T2" s="3">
        <v>72</v>
      </c>
      <c r="U2" s="3">
        <v>72</v>
      </c>
      <c r="V2" s="3">
        <v>72</v>
      </c>
      <c r="W2" s="3">
        <v>72</v>
      </c>
      <c r="X2" s="3">
        <v>72</v>
      </c>
    </row>
    <row r="3" spans="1:24" x14ac:dyDescent="0.25">
      <c r="A3" s="3" t="s">
        <v>20</v>
      </c>
      <c r="B3" s="3">
        <f>GETPIVOTDATA(""&amp;$B$1,Control!$A$17,"Month",""&amp;A3)</f>
        <v>1085</v>
      </c>
      <c r="C3" s="3">
        <f>GETPIVOTDATA(""&amp;$C$1,Control!$A$17,"Month",""&amp;A3)</f>
        <v>753</v>
      </c>
      <c r="D3" s="3">
        <f>IFERROR(GETPIVOTDATA(""&amp;$B$1,Control!$A$2,"Month",""&amp;A3),NA())</f>
        <v>1085</v>
      </c>
      <c r="E3" s="3">
        <f>IFERROR(GETPIVOTDATA(""&amp;$C$1,Control!$A$2,"Month",""&amp;A3),NA())</f>
        <v>753</v>
      </c>
      <c r="G3" s="3">
        <f>GETPIVOTDATA(""&amp;$G$1,Control!$A$17,"Month",""&amp;$I3)</f>
        <v>756</v>
      </c>
      <c r="H3" s="3">
        <f>GETPIVOTDATA(""&amp;$H$1,Control!$A$17,"Month",""&amp;$I3)</f>
        <v>657</v>
      </c>
      <c r="I3" s="3" t="s">
        <v>20</v>
      </c>
      <c r="J3" s="8">
        <f t="shared" ref="J3:J13" si="0">G3+H3</f>
        <v>1413</v>
      </c>
      <c r="K3" s="3">
        <f t="shared" ref="K3:L13" si="1">IF(ISNA(D3),NA(),G3)</f>
        <v>756</v>
      </c>
      <c r="L3" s="3">
        <f t="shared" si="1"/>
        <v>657</v>
      </c>
      <c r="M3" s="3">
        <f t="shared" ref="M3:M13" si="2">MAX($G$2:$H$13)*$M$14</f>
        <v>41.6</v>
      </c>
      <c r="N3" s="3">
        <f t="shared" ref="N3:N12" si="3">IF(ISNA(E3),NA(),M3)</f>
        <v>41.6</v>
      </c>
      <c r="P3" s="6" t="s">
        <v>54</v>
      </c>
      <c r="Q3" s="3">
        <f>GETPIVOTDATA(LEFT(Q$1,1)&amp;" "&amp;$P3,Control!$A$2)</f>
        <v>378765</v>
      </c>
      <c r="R3" s="3">
        <f>GETPIVOTDATA(LEFT(R$1,1)&amp;" "&amp;$P3,Control!$A$2)</f>
        <v>338012</v>
      </c>
      <c r="T3" s="3">
        <v>72</v>
      </c>
      <c r="U3" s="3">
        <v>72</v>
      </c>
      <c r="V3" s="3">
        <v>72</v>
      </c>
      <c r="W3" s="3">
        <v>72</v>
      </c>
      <c r="X3" s="3">
        <v>72</v>
      </c>
    </row>
    <row r="4" spans="1:24" x14ac:dyDescent="0.25">
      <c r="A4" s="3" t="s">
        <v>21</v>
      </c>
      <c r="B4" s="3">
        <f>GETPIVOTDATA(""&amp;$B$1,Control!$A$17,"Month",""&amp;A4)</f>
        <v>1034</v>
      </c>
      <c r="C4" s="3">
        <f>GETPIVOTDATA(""&amp;$C$1,Control!$A$17,"Month",""&amp;A4)</f>
        <v>712</v>
      </c>
      <c r="D4" s="3">
        <f>IFERROR(GETPIVOTDATA(""&amp;$B$1,Control!$A$2,"Month",""&amp;A4),NA())</f>
        <v>1034</v>
      </c>
      <c r="E4" s="3">
        <f>IFERROR(GETPIVOTDATA(""&amp;$C$1,Control!$A$2,"Month",""&amp;A4),NA())</f>
        <v>712</v>
      </c>
      <c r="G4" s="3">
        <f>GETPIVOTDATA(""&amp;$G$1,Control!$A$17,"Month",""&amp;$I4)</f>
        <v>885</v>
      </c>
      <c r="H4" s="3">
        <f>GETPIVOTDATA(""&amp;$H$1,Control!$A$17,"Month",""&amp;$I4)</f>
        <v>861</v>
      </c>
      <c r="I4" s="3" t="s">
        <v>21</v>
      </c>
      <c r="J4" s="8">
        <f t="shared" si="0"/>
        <v>1746</v>
      </c>
      <c r="K4" s="3">
        <f t="shared" si="1"/>
        <v>885</v>
      </c>
      <c r="L4" s="3">
        <f t="shared" si="1"/>
        <v>861</v>
      </c>
      <c r="M4" s="3">
        <f t="shared" si="2"/>
        <v>41.6</v>
      </c>
      <c r="N4" s="3">
        <f t="shared" si="3"/>
        <v>41.6</v>
      </c>
      <c r="P4" s="6" t="s">
        <v>55</v>
      </c>
      <c r="Q4" s="3">
        <f>GETPIVOTDATA(LEFT(Q$1,1)&amp;" "&amp;$P4,Control!$A$2)</f>
        <v>282302</v>
      </c>
      <c r="R4" s="3">
        <f>GETPIVOTDATA(LEFT(R$1,1)&amp;" "&amp;$P4,Control!$A$2)</f>
        <v>373511</v>
      </c>
    </row>
    <row r="5" spans="1:24" x14ac:dyDescent="0.25">
      <c r="A5" s="3" t="s">
        <v>22</v>
      </c>
      <c r="B5" s="3">
        <f>GETPIVOTDATA(""&amp;$B$1,Control!$A$17,"Month",""&amp;A5)</f>
        <v>812</v>
      </c>
      <c r="C5" s="3">
        <f>GETPIVOTDATA(""&amp;$C$1,Control!$A$17,"Month",""&amp;A5)</f>
        <v>849</v>
      </c>
      <c r="D5" s="3">
        <f>IFERROR(GETPIVOTDATA(""&amp;$B$1,Control!$A$2,"Month",""&amp;A5),NA())</f>
        <v>812</v>
      </c>
      <c r="E5" s="3">
        <f>IFERROR(GETPIVOTDATA(""&amp;$C$1,Control!$A$2,"Month",""&amp;A5),NA())</f>
        <v>849</v>
      </c>
      <c r="G5" s="3">
        <f>GETPIVOTDATA(""&amp;$G$1,Control!$A$17,"Month",""&amp;$I5)</f>
        <v>835</v>
      </c>
      <c r="H5" s="3">
        <f>GETPIVOTDATA(""&amp;$H$1,Control!$A$17,"Month",""&amp;$I5)</f>
        <v>611</v>
      </c>
      <c r="I5" s="3" t="s">
        <v>22</v>
      </c>
      <c r="J5" s="8">
        <f t="shared" si="0"/>
        <v>1446</v>
      </c>
      <c r="K5" s="3">
        <f t="shared" si="1"/>
        <v>835</v>
      </c>
      <c r="L5" s="3">
        <f t="shared" si="1"/>
        <v>611</v>
      </c>
      <c r="M5" s="3">
        <f t="shared" si="2"/>
        <v>41.6</v>
      </c>
      <c r="N5" s="3">
        <f t="shared" si="3"/>
        <v>41.6</v>
      </c>
      <c r="P5" s="6" t="s">
        <v>56</v>
      </c>
      <c r="Q5" s="3">
        <f>GETPIVOTDATA(LEFT(Q$1,1)&amp;" "&amp;$P5,Control!$A$2)</f>
        <v>328249</v>
      </c>
      <c r="R5" s="3">
        <f>GETPIVOTDATA(LEFT(R$1,1)&amp;" "&amp;$P5,Control!$A$2)</f>
        <v>337292</v>
      </c>
    </row>
    <row r="6" spans="1:24" x14ac:dyDescent="0.25">
      <c r="A6" s="3" t="s">
        <v>23</v>
      </c>
      <c r="B6" s="3">
        <f>GETPIVOTDATA(""&amp;$B$1,Control!$A$17,"Month",""&amp;A6)</f>
        <v>663</v>
      </c>
      <c r="C6" s="3">
        <f>GETPIVOTDATA(""&amp;$C$1,Control!$A$17,"Month",""&amp;A6)</f>
        <v>978</v>
      </c>
      <c r="D6" s="3">
        <f>IFERROR(GETPIVOTDATA(""&amp;$B$1,Control!$A$2,"Month",""&amp;A6),NA())</f>
        <v>663</v>
      </c>
      <c r="E6" s="3">
        <f>IFERROR(GETPIVOTDATA(""&amp;$C$1,Control!$A$2,"Month",""&amp;A6),NA())</f>
        <v>978</v>
      </c>
      <c r="G6" s="3">
        <f>GETPIVOTDATA(""&amp;$G$1,Control!$A$17,"Month",""&amp;$I6)</f>
        <v>853</v>
      </c>
      <c r="H6" s="3">
        <f>GETPIVOTDATA(""&amp;$H$1,Control!$A$17,"Month",""&amp;$I6)</f>
        <v>641</v>
      </c>
      <c r="I6" s="3" t="s">
        <v>23</v>
      </c>
      <c r="J6" s="8">
        <f t="shared" si="0"/>
        <v>1494</v>
      </c>
      <c r="K6" s="3">
        <f t="shared" si="1"/>
        <v>853</v>
      </c>
      <c r="L6" s="3">
        <f t="shared" si="1"/>
        <v>641</v>
      </c>
      <c r="M6" s="3">
        <f t="shared" si="2"/>
        <v>41.6</v>
      </c>
      <c r="N6" s="3">
        <f t="shared" si="3"/>
        <v>41.6</v>
      </c>
      <c r="P6" s="6" t="s">
        <v>57</v>
      </c>
      <c r="Q6" s="3">
        <f>GETPIVOTDATA(LEFT(Q$1,1)&amp;" "&amp;$P6,Control!$A$2)</f>
        <v>422676</v>
      </c>
      <c r="R6" s="3">
        <f>GETPIVOTDATA(LEFT(R$1,1)&amp;" "&amp;$P6,Control!$A$2)</f>
        <v>366652</v>
      </c>
    </row>
    <row r="7" spans="1:24" x14ac:dyDescent="0.25">
      <c r="A7" s="3" t="s">
        <v>24</v>
      </c>
      <c r="B7" s="3">
        <f>GETPIVOTDATA(""&amp;$B$1,Control!$A$17,"Month",""&amp;A7)</f>
        <v>837</v>
      </c>
      <c r="C7" s="3">
        <f>GETPIVOTDATA(""&amp;$C$1,Control!$A$17,"Month",""&amp;A7)</f>
        <v>603</v>
      </c>
      <c r="D7" s="3">
        <f>IFERROR(GETPIVOTDATA(""&amp;$B$1,Control!$A$2,"Month",""&amp;A7),NA())</f>
        <v>837</v>
      </c>
      <c r="E7" s="3">
        <f>IFERROR(GETPIVOTDATA(""&amp;$C$1,Control!$A$2,"Month",""&amp;A7),NA())</f>
        <v>603</v>
      </c>
      <c r="G7" s="3">
        <f>GETPIVOTDATA(""&amp;$G$1,Control!$A$17,"Month",""&amp;$I7)</f>
        <v>615</v>
      </c>
      <c r="H7" s="3">
        <f>GETPIVOTDATA(""&amp;$H$1,Control!$A$17,"Month",""&amp;$I7)</f>
        <v>747</v>
      </c>
      <c r="I7" s="3" t="s">
        <v>24</v>
      </c>
      <c r="J7" s="8">
        <f t="shared" si="0"/>
        <v>1362</v>
      </c>
      <c r="K7" s="3">
        <f t="shared" si="1"/>
        <v>615</v>
      </c>
      <c r="L7" s="3">
        <f t="shared" si="1"/>
        <v>747</v>
      </c>
      <c r="M7" s="3">
        <f t="shared" si="2"/>
        <v>41.6</v>
      </c>
      <c r="N7" s="3">
        <f t="shared" si="3"/>
        <v>41.6</v>
      </c>
    </row>
    <row r="8" spans="1:24" x14ac:dyDescent="0.25">
      <c r="A8" s="3" t="s">
        <v>25</v>
      </c>
      <c r="B8" s="3">
        <f>GETPIVOTDATA(""&amp;$B$1,Control!$A$17,"Month",""&amp;A8)</f>
        <v>885</v>
      </c>
      <c r="C8" s="3">
        <f>GETPIVOTDATA(""&amp;$C$1,Control!$A$17,"Month",""&amp;A8)</f>
        <v>642</v>
      </c>
      <c r="D8" s="3">
        <f>IFERROR(GETPIVOTDATA(""&amp;$B$1,Control!$A$2,"Month",""&amp;A8),NA())</f>
        <v>885</v>
      </c>
      <c r="E8" s="3">
        <f>IFERROR(GETPIVOTDATA(""&amp;$C$1,Control!$A$2,"Month",""&amp;A8),NA())</f>
        <v>642</v>
      </c>
      <c r="G8" s="3">
        <f>GETPIVOTDATA(""&amp;$G$1,Control!$A$17,"Month",""&amp;$I8)</f>
        <v>671</v>
      </c>
      <c r="H8" s="3">
        <f>GETPIVOTDATA(""&amp;$H$1,Control!$A$17,"Month",""&amp;$I8)</f>
        <v>595</v>
      </c>
      <c r="I8" s="3" t="s">
        <v>25</v>
      </c>
      <c r="J8" s="8">
        <f t="shared" si="0"/>
        <v>1266</v>
      </c>
      <c r="K8" s="3">
        <f t="shared" si="1"/>
        <v>671</v>
      </c>
      <c r="L8" s="3">
        <f t="shared" si="1"/>
        <v>595</v>
      </c>
      <c r="M8" s="3">
        <f t="shared" si="2"/>
        <v>41.6</v>
      </c>
      <c r="N8" s="3">
        <f t="shared" si="3"/>
        <v>41.6</v>
      </c>
    </row>
    <row r="9" spans="1:24" x14ac:dyDescent="0.25">
      <c r="A9" s="3" t="s">
        <v>26</v>
      </c>
      <c r="B9" s="3">
        <f>GETPIVOTDATA(""&amp;$B$1,Control!$A$17,"Month",""&amp;A9)</f>
        <v>620</v>
      </c>
      <c r="C9" s="3">
        <f>GETPIVOTDATA(""&amp;$C$1,Control!$A$17,"Month",""&amp;A9)</f>
        <v>793</v>
      </c>
      <c r="D9" s="3">
        <f>IFERROR(GETPIVOTDATA(""&amp;$B$1,Control!$A$2,"Month",""&amp;A9),NA())</f>
        <v>620</v>
      </c>
      <c r="E9" s="3">
        <f>IFERROR(GETPIVOTDATA(""&amp;$C$1,Control!$A$2,"Month",""&amp;A9),NA())</f>
        <v>793</v>
      </c>
      <c r="G9" s="3">
        <f>GETPIVOTDATA(""&amp;$G$1,Control!$A$17,"Month",""&amp;$I9)</f>
        <v>835</v>
      </c>
      <c r="H9" s="3">
        <f>GETPIVOTDATA(""&amp;$H$1,Control!$A$17,"Month",""&amp;$I9)</f>
        <v>632</v>
      </c>
      <c r="I9" s="3" t="s">
        <v>26</v>
      </c>
      <c r="J9" s="8">
        <f t="shared" si="0"/>
        <v>1467</v>
      </c>
      <c r="K9" s="3">
        <f t="shared" si="1"/>
        <v>835</v>
      </c>
      <c r="L9" s="3">
        <f t="shared" si="1"/>
        <v>632</v>
      </c>
      <c r="M9" s="3">
        <f t="shared" si="2"/>
        <v>41.6</v>
      </c>
      <c r="N9" s="3">
        <f t="shared" si="3"/>
        <v>41.6</v>
      </c>
      <c r="S9" s="3" t="s">
        <v>50</v>
      </c>
      <c r="T9" s="3" t="s">
        <v>51</v>
      </c>
    </row>
    <row r="10" spans="1:24" x14ac:dyDescent="0.25">
      <c r="A10" s="3" t="s">
        <v>27</v>
      </c>
      <c r="B10" s="3">
        <f>GETPIVOTDATA(""&amp;$B$1,Control!$A$17,"Month",""&amp;A10)</f>
        <v>1057</v>
      </c>
      <c r="C10" s="3">
        <f>GETPIVOTDATA(""&amp;$C$1,Control!$A$17,"Month",""&amp;A10)</f>
        <v>776</v>
      </c>
      <c r="D10" s="3">
        <f>IFERROR(GETPIVOTDATA(""&amp;$B$1,Control!$A$2,"Month",""&amp;A10),NA())</f>
        <v>1057</v>
      </c>
      <c r="E10" s="3">
        <f>IFERROR(GETPIVOTDATA(""&amp;$C$1,Control!$A$2,"Month",""&amp;A10),NA())</f>
        <v>776</v>
      </c>
      <c r="G10" s="3">
        <f>GETPIVOTDATA(""&amp;$G$1,Control!$A$17,"Month",""&amp;$I10)</f>
        <v>562</v>
      </c>
      <c r="H10" s="3">
        <f>GETPIVOTDATA(""&amp;$H$1,Control!$A$17,"Month",""&amp;$I10)</f>
        <v>754</v>
      </c>
      <c r="I10" s="3" t="s">
        <v>27</v>
      </c>
      <c r="J10" s="8">
        <f t="shared" si="0"/>
        <v>1316</v>
      </c>
      <c r="K10" s="3">
        <f t="shared" si="1"/>
        <v>562</v>
      </c>
      <c r="L10" s="3">
        <f t="shared" si="1"/>
        <v>754</v>
      </c>
      <c r="M10" s="3">
        <f t="shared" si="2"/>
        <v>41.6</v>
      </c>
      <c r="N10" s="3">
        <f t="shared" si="3"/>
        <v>41.6</v>
      </c>
      <c r="S10" s="3">
        <v>0.95</v>
      </c>
      <c r="T10" s="3">
        <v>0.95</v>
      </c>
    </row>
    <row r="11" spans="1:24" x14ac:dyDescent="0.25">
      <c r="A11" s="3" t="s">
        <v>28</v>
      </c>
      <c r="B11" s="3">
        <f>GETPIVOTDATA(""&amp;$B$1,Control!$A$17,"Month",""&amp;A11)</f>
        <v>747</v>
      </c>
      <c r="C11" s="3">
        <f>GETPIVOTDATA(""&amp;$C$1,Control!$A$17,"Month",""&amp;A11)</f>
        <v>933</v>
      </c>
      <c r="D11" s="3">
        <f>IFERROR(GETPIVOTDATA(""&amp;$B$1,Control!$A$2,"Month",""&amp;A11),NA())</f>
        <v>747</v>
      </c>
      <c r="E11" s="3">
        <f>IFERROR(GETPIVOTDATA(""&amp;$C$1,Control!$A$2,"Month",""&amp;A11),NA())</f>
        <v>933</v>
      </c>
      <c r="G11" s="3">
        <f>GETPIVOTDATA(""&amp;$G$1,Control!$A$17,"Month",""&amp;$I11)</f>
        <v>1040</v>
      </c>
      <c r="H11" s="3">
        <f>GETPIVOTDATA(""&amp;$H$1,Control!$A$17,"Month",""&amp;$I11)</f>
        <v>745</v>
      </c>
      <c r="I11" s="3" t="s">
        <v>28</v>
      </c>
      <c r="J11" s="8">
        <f t="shared" si="0"/>
        <v>1785</v>
      </c>
      <c r="K11" s="3">
        <f t="shared" si="1"/>
        <v>1040</v>
      </c>
      <c r="L11" s="3">
        <f t="shared" si="1"/>
        <v>745</v>
      </c>
      <c r="M11" s="3">
        <f t="shared" si="2"/>
        <v>41.6</v>
      </c>
      <c r="N11" s="3">
        <f t="shared" si="3"/>
        <v>41.6</v>
      </c>
      <c r="P11" s="11" t="s">
        <v>7</v>
      </c>
      <c r="Q11" s="12">
        <f>GETPIVOTDATA(""&amp;P11,Control!$A$2)</f>
        <v>0.58333333333333326</v>
      </c>
      <c r="R11" s="10">
        <f>100%-Q11</f>
        <v>0.41666666666666674</v>
      </c>
      <c r="S11" s="3">
        <f>SIN((Q11+30/360)*2*PI())*$S$10</f>
        <v>-0.82272413359521646</v>
      </c>
      <c r="T11" s="3">
        <f>COS((R11-30/360)*2*PI())*$T$10</f>
        <v>-0.47500000000000053</v>
      </c>
    </row>
    <row r="12" spans="1:24" x14ac:dyDescent="0.25">
      <c r="A12" s="3" t="s">
        <v>29</v>
      </c>
      <c r="B12" s="3">
        <f>GETPIVOTDATA(""&amp;$B$1,Control!$A$17,"Month",""&amp;A12)</f>
        <v>768</v>
      </c>
      <c r="C12" s="3">
        <f>GETPIVOTDATA(""&amp;$C$1,Control!$A$17,"Month",""&amp;A12)</f>
        <v>964</v>
      </c>
      <c r="D12" s="3">
        <f>IFERROR(GETPIVOTDATA(""&amp;$B$1,Control!$A$2,"Month",""&amp;A12),NA())</f>
        <v>768</v>
      </c>
      <c r="E12" s="3">
        <f>IFERROR(GETPIVOTDATA(""&amp;$C$1,Control!$A$2,"Month",""&amp;A12),NA())</f>
        <v>964</v>
      </c>
      <c r="G12" s="3">
        <f>GETPIVOTDATA(""&amp;$G$1,Control!$A$17,"Month",""&amp;$I12)</f>
        <v>877</v>
      </c>
      <c r="H12" s="3">
        <f>GETPIVOTDATA(""&amp;$H$1,Control!$A$17,"Month",""&amp;$I12)</f>
        <v>657</v>
      </c>
      <c r="I12" s="3" t="s">
        <v>29</v>
      </c>
      <c r="J12" s="8">
        <f t="shared" si="0"/>
        <v>1534</v>
      </c>
      <c r="K12" s="3">
        <f t="shared" si="1"/>
        <v>877</v>
      </c>
      <c r="L12" s="3">
        <f t="shared" si="1"/>
        <v>657</v>
      </c>
      <c r="M12" s="3">
        <f t="shared" si="2"/>
        <v>41.6</v>
      </c>
      <c r="N12" s="3">
        <f t="shared" si="3"/>
        <v>41.6</v>
      </c>
      <c r="P12" s="11" t="s">
        <v>8</v>
      </c>
      <c r="Q12" s="12">
        <f>GETPIVOTDATA(""&amp;P12,Control!$A$2)</f>
        <v>0.59750000000000003</v>
      </c>
      <c r="R12" s="10">
        <f t="shared" ref="R12:R13" si="4">100%-Q12</f>
        <v>0.40249999999999997</v>
      </c>
      <c r="S12" s="3">
        <f t="shared" ref="S12:S13" si="5">SIN((Q12+30/360)*2*PI())*$S$10</f>
        <v>-0.86169181357689184</v>
      </c>
      <c r="T12" s="3">
        <f t="shared" ref="T12:T13" si="6">COS((R12-30/360)*2*PI())*$T$10</f>
        <v>-0.39998402269911643</v>
      </c>
    </row>
    <row r="13" spans="1:24" x14ac:dyDescent="0.25">
      <c r="A13" s="3" t="s">
        <v>30</v>
      </c>
      <c r="B13" s="3">
        <f>GETPIVOTDATA(""&amp;$B$1,Control!$A$17,"Month",""&amp;A13)</f>
        <v>750</v>
      </c>
      <c r="C13" s="3">
        <f>GETPIVOTDATA(""&amp;$C$1,Control!$A$17,"Month",""&amp;A13)</f>
        <v>818</v>
      </c>
      <c r="D13" s="3">
        <f>IFERROR(GETPIVOTDATA(""&amp;$B$1,Control!$A$2,"Month",""&amp;A13),NA())</f>
        <v>750</v>
      </c>
      <c r="E13" s="3">
        <f>IFERROR(GETPIVOTDATA(""&amp;$C$1,Control!$A$2,"Month",""&amp;A13),NA())</f>
        <v>818</v>
      </c>
      <c r="G13" s="3">
        <f>GETPIVOTDATA(""&amp;$G$1,Control!$A$17,"Month",""&amp;$I13)</f>
        <v>905</v>
      </c>
      <c r="H13" s="3">
        <f>GETPIVOTDATA(""&amp;$H$1,Control!$A$17,"Month",""&amp;$I13)</f>
        <v>953</v>
      </c>
      <c r="I13" s="3" t="s">
        <v>30</v>
      </c>
      <c r="J13" s="8">
        <f t="shared" si="0"/>
        <v>1858</v>
      </c>
      <c r="K13" s="3">
        <f t="shared" si="1"/>
        <v>905</v>
      </c>
      <c r="L13" s="3">
        <f t="shared" si="1"/>
        <v>953</v>
      </c>
      <c r="M13" s="3">
        <f t="shared" si="2"/>
        <v>41.6</v>
      </c>
      <c r="N13" s="3">
        <f>IF(ISNA(E13),NA(),M13)</f>
        <v>41.6</v>
      </c>
      <c r="P13" s="11" t="s">
        <v>9</v>
      </c>
      <c r="Q13" s="12">
        <f>GETPIVOTDATA(""&amp;P13,Control!$A$2)</f>
        <v>0.62083333333333335</v>
      </c>
      <c r="R13" s="10">
        <f t="shared" si="4"/>
        <v>0.37916666666666665</v>
      </c>
      <c r="S13" s="3">
        <f t="shared" si="5"/>
        <v>-0.91087874812478331</v>
      </c>
      <c r="T13" s="3">
        <f t="shared" si="6"/>
        <v>-0.2698145774687265</v>
      </c>
    </row>
    <row r="14" spans="1:24" x14ac:dyDescent="0.25">
      <c r="C14" s="3" t="s">
        <v>39</v>
      </c>
      <c r="D14" s="7">
        <f>GETPIVOTDATA(""&amp;$B$1,Control!$A$2)</f>
        <v>9952</v>
      </c>
      <c r="E14" s="3">
        <f>GETPIVOTDATA(""&amp;$C$1,Control!$A$2)</f>
        <v>9613</v>
      </c>
      <c r="K14" s="3">
        <f t="array" ref="K14">SUMPRODUCT(IFERROR(K2:K13,0))</f>
        <v>9488</v>
      </c>
      <c r="L14" s="3">
        <f t="array" ref="L14">SUMPRODUCT(IFERROR(L2:L13,0))</f>
        <v>8790</v>
      </c>
      <c r="M14" s="10">
        <v>0.04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Control</vt:lpstr>
      <vt:lpstr>Data</vt:lpstr>
      <vt:lpstr>Dashboard</vt:lpstr>
      <vt:lpstr>Proccessing</vt:lpstr>
      <vt:lpstr>Client Structure</vt:lpstr>
      <vt:lpstr>Dashboard Dark</vt:lpstr>
      <vt:lpstr>Client Structure Dark</vt:lpstr>
      <vt:lpstr>Sheet1</vt:lpstr>
      <vt:lpstr>Proccessing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2025-05-09T07:51:01Z</dcterms:created>
  <dcterms:modified xsi:type="dcterms:W3CDTF">2025-09-27T16:06:57Z</dcterms:modified>
</cp:coreProperties>
</file>